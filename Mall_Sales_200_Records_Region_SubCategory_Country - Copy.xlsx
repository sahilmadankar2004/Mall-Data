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
    </mc:Choice>
  </mc:AlternateContent>
  <xr:revisionPtr revIDLastSave="0" documentId="13_ncr:1_{6A25FDE9-DB00-48AE-8D88-D2909ABAA73B}" xr6:coauthVersionLast="47" xr6:coauthVersionMax="47" xr10:uidLastSave="{00000000-0000-0000-0000-000000000000}"/>
  <bookViews>
    <workbookView xWindow="-108" yWindow="-108" windowWidth="23256" windowHeight="12456" activeTab="3" xr2:uid="{00000000-000D-0000-FFFF-FFFF00000000}"/>
  </bookViews>
  <sheets>
    <sheet name="Sheet" sheetId="1" r:id="rId1"/>
    <sheet name="Sheet1" sheetId="2" r:id="rId2"/>
    <sheet name="Sheet2" sheetId="3" r:id="rId3"/>
    <sheet name="Sheet3" sheetId="4" r:id="rId4"/>
  </sheets>
  <definedNames>
    <definedName name="_xlcn.WorksheetConnection_Mall_Sales_200_Records_Region_SubCategory_Country.xlsxTable11" hidden="1">Table1[]</definedName>
    <definedName name="Slicer_Category">#N/A</definedName>
    <definedName name="Slicer_City">#N/A</definedName>
    <definedName name="Slicer_Country">#N/A</definedName>
    <definedName name="Slicer_Date">#N/A</definedName>
    <definedName name="Slicer_Payment">#N/A</definedName>
    <definedName name="Slicer_Region">#N/A</definedName>
    <definedName name="Slicer_State">#N/A</definedName>
    <definedName name="Slicer_Sub_Category">#N/A</definedName>
  </definedNames>
  <calcPr calcId="191029"/>
  <pivotCaches>
    <pivotCache cacheId="0" r:id="rId5"/>
    <pivotCache cacheId="1" r:id="rId6"/>
    <pivotCache cacheId="2" r:id="rId7"/>
    <pivotCache cacheId="4" r:id="rId8"/>
    <pivotCache cacheId="5" r:id="rId9"/>
    <pivotCache cacheId="6" r:id="rId10"/>
    <pivotCache cacheId="7" r:id="rId11"/>
    <pivotCache cacheId="11"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Mall_Sales_200_Records_Region_SubCategory_Country.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2" i="1" l="1"/>
  <c r="Q203" i="1"/>
  <c r="Q202" i="1"/>
  <c r="N2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Mall_Sales_200_Records_Region_SubCategory_Country.xlsx!Table1" type="102" refreshedVersion="6" minRefreshableVersion="5">
    <extLst>
      <ext xmlns:x15="http://schemas.microsoft.com/office/spreadsheetml/2010/11/main" uri="{DE250136-89BD-433C-8126-D09CA5730AF9}">
        <x15:connection id="Table1" autoDelete="1">
          <x15:rangePr sourceName="_xlcn.WorksheetConnection_Mall_Sales_200_Records_Region_SubCategory_Country.xlsxTable11"/>
        </x15:connection>
      </ext>
    </extLst>
  </connection>
</connections>
</file>

<file path=xl/sharedStrings.xml><?xml version="1.0" encoding="utf-8"?>
<sst xmlns="http://schemas.openxmlformats.org/spreadsheetml/2006/main" count="2996" uniqueCount="396">
  <si>
    <t>Bill No</t>
  </si>
  <si>
    <t>Date</t>
  </si>
  <si>
    <t>Customer</t>
  </si>
  <si>
    <t>Gender</t>
  </si>
  <si>
    <t>Age</t>
  </si>
  <si>
    <t>Country</t>
  </si>
  <si>
    <t>Region</t>
  </si>
  <si>
    <t>State</t>
  </si>
  <si>
    <t>City</t>
  </si>
  <si>
    <t>Store</t>
  </si>
  <si>
    <t>Category</t>
  </si>
  <si>
    <t>Sub Category</t>
  </si>
  <si>
    <t>Product</t>
  </si>
  <si>
    <t>Qty</t>
  </si>
  <si>
    <t>Unit Price</t>
  </si>
  <si>
    <t>Discount %</t>
  </si>
  <si>
    <t>Net Sales</t>
  </si>
  <si>
    <t>Payment</t>
  </si>
  <si>
    <t>Cashier</t>
  </si>
  <si>
    <t>B10001</t>
  </si>
  <si>
    <t>03-Feb-2026</t>
  </si>
  <si>
    <t>Pooja</t>
  </si>
  <si>
    <t>Male</t>
  </si>
  <si>
    <t>India</t>
  </si>
  <si>
    <t>Central</t>
  </si>
  <si>
    <t>Madhya Pradesh</t>
  </si>
  <si>
    <t>Bhopal</t>
  </si>
  <si>
    <t>Fashion Store</t>
  </si>
  <si>
    <t>Fashion</t>
  </si>
  <si>
    <t>Men</t>
  </si>
  <si>
    <t>Shirt</t>
  </si>
  <si>
    <t>Debit Card</t>
  </si>
  <si>
    <t>Amit</t>
  </si>
  <si>
    <t>B10002</t>
  </si>
  <si>
    <t>29-May-2026</t>
  </si>
  <si>
    <t>Rohan</t>
  </si>
  <si>
    <t>Electronics Store</t>
  </si>
  <si>
    <t>Electronics</t>
  </si>
  <si>
    <t>Wearables</t>
  </si>
  <si>
    <t>Smart Watch</t>
  </si>
  <si>
    <t>Cash</t>
  </si>
  <si>
    <t>B10003</t>
  </si>
  <si>
    <t>30-Apr-2026</t>
  </si>
  <si>
    <t>Sneha</t>
  </si>
  <si>
    <t>Female</t>
  </si>
  <si>
    <t>North</t>
  </si>
  <si>
    <t>Delhi</t>
  </si>
  <si>
    <t>New Delhi</t>
  </si>
  <si>
    <t>Accessories</t>
  </si>
  <si>
    <t>Headphones</t>
  </si>
  <si>
    <t>Neha</t>
  </si>
  <si>
    <t>B10004</t>
  </si>
  <si>
    <t>14-Feb-2026</t>
  </si>
  <si>
    <t>Vikram</t>
  </si>
  <si>
    <t>UPI</t>
  </si>
  <si>
    <t>B10005</t>
  </si>
  <si>
    <t>29-Jun-2026</t>
  </si>
  <si>
    <t>Priya</t>
  </si>
  <si>
    <t>South</t>
  </si>
  <si>
    <t>Karnataka</t>
  </si>
  <si>
    <t>Bengaluru</t>
  </si>
  <si>
    <t>Credit Card</t>
  </si>
  <si>
    <t>B10006</t>
  </si>
  <si>
    <t>15-May-2026</t>
  </si>
  <si>
    <t>Rahul</t>
  </si>
  <si>
    <t>West</t>
  </si>
  <si>
    <t>Maharashtra</t>
  </si>
  <si>
    <t>Mumbai</t>
  </si>
  <si>
    <t>Women</t>
  </si>
  <si>
    <t>Dress</t>
  </si>
  <si>
    <t>Ravi</t>
  </si>
  <si>
    <t>B10007</t>
  </si>
  <si>
    <t>11-Mar-2026</t>
  </si>
  <si>
    <t>East</t>
  </si>
  <si>
    <t>West Bengal</t>
  </si>
  <si>
    <t>Kolkata</t>
  </si>
  <si>
    <t>B10008</t>
  </si>
  <si>
    <t>07-Jun-2026</t>
  </si>
  <si>
    <t>Aisha</t>
  </si>
  <si>
    <t>Footwear Store</t>
  </si>
  <si>
    <t>Footwear</t>
  </si>
  <si>
    <t>Sports</t>
  </si>
  <si>
    <t>Shoes</t>
  </si>
  <si>
    <t>B10009</t>
  </si>
  <si>
    <t>02-Feb-2026</t>
  </si>
  <si>
    <t>B10010</t>
  </si>
  <si>
    <t>21-Jan-2026</t>
  </si>
  <si>
    <t>B10011</t>
  </si>
  <si>
    <t>19-Feb-2026</t>
  </si>
  <si>
    <t>B10012</t>
  </si>
  <si>
    <t>Grocery Store</t>
  </si>
  <si>
    <t>Grocery</t>
  </si>
  <si>
    <t>Staples</t>
  </si>
  <si>
    <t>Rice 5kg</t>
  </si>
  <si>
    <t>B10013</t>
  </si>
  <si>
    <t>13-May-2026</t>
  </si>
  <si>
    <t>B10014</t>
  </si>
  <si>
    <t>04-Jan-2026</t>
  </si>
  <si>
    <t>B10015</t>
  </si>
  <si>
    <t>19-Jun-2026</t>
  </si>
  <si>
    <t>B10016</t>
  </si>
  <si>
    <t>29-Jan-2026</t>
  </si>
  <si>
    <t>Arjun</t>
  </si>
  <si>
    <t>B10017</t>
  </si>
  <si>
    <t>28-Mar-2026</t>
  </si>
  <si>
    <t>Kiran</t>
  </si>
  <si>
    <t>B10018</t>
  </si>
  <si>
    <t>B10019</t>
  </si>
  <si>
    <t>16-Feb-2026</t>
  </si>
  <si>
    <t>B10020</t>
  </si>
  <si>
    <t>17-Mar-2026</t>
  </si>
  <si>
    <t>B10021</t>
  </si>
  <si>
    <t>09-Jun-2026</t>
  </si>
  <si>
    <t>B10022</t>
  </si>
  <si>
    <t>24-Apr-2026</t>
  </si>
  <si>
    <t>B10023</t>
  </si>
  <si>
    <t>02-May-2026</t>
  </si>
  <si>
    <t>B10024</t>
  </si>
  <si>
    <t>04-Apr-2026</t>
  </si>
  <si>
    <t>B10025</t>
  </si>
  <si>
    <t>15-Mar-2026</t>
  </si>
  <si>
    <t>B10026</t>
  </si>
  <si>
    <t>20-Jan-2026</t>
  </si>
  <si>
    <t>B10027</t>
  </si>
  <si>
    <t>15-Apr-2026</t>
  </si>
  <si>
    <t>B10028</t>
  </si>
  <si>
    <t>05-Jun-2026</t>
  </si>
  <si>
    <t>B10029</t>
  </si>
  <si>
    <t>12-Jun-2026</t>
  </si>
  <si>
    <t>B10030</t>
  </si>
  <si>
    <t>28-May-2026</t>
  </si>
  <si>
    <t>B10031</t>
  </si>
  <si>
    <t>03-Apr-2026</t>
  </si>
  <si>
    <t>B10032</t>
  </si>
  <si>
    <t>04-May-2026</t>
  </si>
  <si>
    <t>B10033</t>
  </si>
  <si>
    <t>25-Jan-2026</t>
  </si>
  <si>
    <t>B10034</t>
  </si>
  <si>
    <t>02-Apr-2026</t>
  </si>
  <si>
    <t>B10035</t>
  </si>
  <si>
    <t>29-Apr-2026</t>
  </si>
  <si>
    <t>B10036</t>
  </si>
  <si>
    <t>17-Feb-2026</t>
  </si>
  <si>
    <t>B10037</t>
  </si>
  <si>
    <t>06-Apr-2026</t>
  </si>
  <si>
    <t>B10038</t>
  </si>
  <si>
    <t>06-Mar-2026</t>
  </si>
  <si>
    <t>B10039</t>
  </si>
  <si>
    <t>25-Feb-2026</t>
  </si>
  <si>
    <t>B10040</t>
  </si>
  <si>
    <t>25-Apr-2026</t>
  </si>
  <si>
    <t>B10041</t>
  </si>
  <si>
    <t>B10042</t>
  </si>
  <si>
    <t>25-Mar-2026</t>
  </si>
  <si>
    <t>B10043</t>
  </si>
  <si>
    <t>B10044</t>
  </si>
  <si>
    <t>04-Jun-2026</t>
  </si>
  <si>
    <t>B10045</t>
  </si>
  <si>
    <t>12-Apr-2026</t>
  </si>
  <si>
    <t>B10046</t>
  </si>
  <si>
    <t>05-Jan-2026</t>
  </si>
  <si>
    <t>B10047</t>
  </si>
  <si>
    <t>B10048</t>
  </si>
  <si>
    <t>B10049</t>
  </si>
  <si>
    <t>21-Mar-2026</t>
  </si>
  <si>
    <t>B10050</t>
  </si>
  <si>
    <t>13-Feb-2026</t>
  </si>
  <si>
    <t>B10051</t>
  </si>
  <si>
    <t>B10052</t>
  </si>
  <si>
    <t>22-Jan-2026</t>
  </si>
  <si>
    <t>B10053</t>
  </si>
  <si>
    <t>23-May-2026</t>
  </si>
  <si>
    <t>B10054</t>
  </si>
  <si>
    <t>23-Feb-2026</t>
  </si>
  <si>
    <t>B10055</t>
  </si>
  <si>
    <t>31-May-2026</t>
  </si>
  <si>
    <t>B10056</t>
  </si>
  <si>
    <t>05-May-2026</t>
  </si>
  <si>
    <t>B10057</t>
  </si>
  <si>
    <t>08-Jun-2026</t>
  </si>
  <si>
    <t>B10058</t>
  </si>
  <si>
    <t>B10059</t>
  </si>
  <si>
    <t>17-Apr-2026</t>
  </si>
  <si>
    <t>B10060</t>
  </si>
  <si>
    <t>27-Mar-2026</t>
  </si>
  <si>
    <t>B10061</t>
  </si>
  <si>
    <t>27-Jun-2026</t>
  </si>
  <si>
    <t>B10062</t>
  </si>
  <si>
    <t>07-Mar-2026</t>
  </si>
  <si>
    <t>B10063</t>
  </si>
  <si>
    <t>01-Apr-2026</t>
  </si>
  <si>
    <t>B10064</t>
  </si>
  <si>
    <t>B10065</t>
  </si>
  <si>
    <t>B10066</t>
  </si>
  <si>
    <t>22-May-2026</t>
  </si>
  <si>
    <t>B10067</t>
  </si>
  <si>
    <t>08-Jan-2026</t>
  </si>
  <si>
    <t>B10068</t>
  </si>
  <si>
    <t>B10069</t>
  </si>
  <si>
    <t>11-Jun-2026</t>
  </si>
  <si>
    <t>B10070</t>
  </si>
  <si>
    <t>B10071</t>
  </si>
  <si>
    <t>07-May-2026</t>
  </si>
  <si>
    <t>B10072</t>
  </si>
  <si>
    <t>11-May-2026</t>
  </si>
  <si>
    <t>B10073</t>
  </si>
  <si>
    <t>B10074</t>
  </si>
  <si>
    <t>B10075</t>
  </si>
  <si>
    <t>10-Mar-2026</t>
  </si>
  <si>
    <t>B10076</t>
  </si>
  <si>
    <t>B10077</t>
  </si>
  <si>
    <t>07-Jan-2026</t>
  </si>
  <si>
    <t>B10078</t>
  </si>
  <si>
    <t>B10079</t>
  </si>
  <si>
    <t>21-Apr-2026</t>
  </si>
  <si>
    <t>B10080</t>
  </si>
  <si>
    <t>B10081</t>
  </si>
  <si>
    <t>B10082</t>
  </si>
  <si>
    <t>30-Jun-2026</t>
  </si>
  <si>
    <t>B10083</t>
  </si>
  <si>
    <t>03-Jun-2026</t>
  </si>
  <si>
    <t>B10084</t>
  </si>
  <si>
    <t>B10085</t>
  </si>
  <si>
    <t>26-Jan-2026</t>
  </si>
  <si>
    <t>B10086</t>
  </si>
  <si>
    <t>12-Mar-2026</t>
  </si>
  <si>
    <t>B10087</t>
  </si>
  <si>
    <t>B10088</t>
  </si>
  <si>
    <t>13-Apr-2026</t>
  </si>
  <si>
    <t>B10089</t>
  </si>
  <si>
    <t>B10090</t>
  </si>
  <si>
    <t>B10091</t>
  </si>
  <si>
    <t>B10092</t>
  </si>
  <si>
    <t>31-Jan-2026</t>
  </si>
  <si>
    <t>B10093</t>
  </si>
  <si>
    <t>16-Jun-2026</t>
  </si>
  <si>
    <t>B10094</t>
  </si>
  <si>
    <t>B10095</t>
  </si>
  <si>
    <t>08-Feb-2026</t>
  </si>
  <si>
    <t>B10096</t>
  </si>
  <si>
    <t>B10097</t>
  </si>
  <si>
    <t>23-Jan-2026</t>
  </si>
  <si>
    <t>B10098</t>
  </si>
  <si>
    <t>B10099</t>
  </si>
  <si>
    <t>19-Jan-2026</t>
  </si>
  <si>
    <t>B10100</t>
  </si>
  <si>
    <t>07-Apr-2026</t>
  </si>
  <si>
    <t>B10101</t>
  </si>
  <si>
    <t>B10102</t>
  </si>
  <si>
    <t>B10103</t>
  </si>
  <si>
    <t>B10104</t>
  </si>
  <si>
    <t>28-Jan-2026</t>
  </si>
  <si>
    <t>B10105</t>
  </si>
  <si>
    <t>B10106</t>
  </si>
  <si>
    <t>B10107</t>
  </si>
  <si>
    <t>19-Mar-2026</t>
  </si>
  <si>
    <t>B10108</t>
  </si>
  <si>
    <t>24-Jan-2026</t>
  </si>
  <si>
    <t>B10109</t>
  </si>
  <si>
    <t>16-Apr-2026</t>
  </si>
  <si>
    <t>B10110</t>
  </si>
  <si>
    <t>10-Jan-2026</t>
  </si>
  <si>
    <t>B10111</t>
  </si>
  <si>
    <t>26-Apr-2026</t>
  </si>
  <si>
    <t>B10112</t>
  </si>
  <si>
    <t>09-Feb-2026</t>
  </si>
  <si>
    <t>B10113</t>
  </si>
  <si>
    <t>22-Jun-2026</t>
  </si>
  <si>
    <t>B10114</t>
  </si>
  <si>
    <t>20-Mar-2026</t>
  </si>
  <si>
    <t>B10115</t>
  </si>
  <si>
    <t>19-Apr-2026</t>
  </si>
  <si>
    <t>B10116</t>
  </si>
  <si>
    <t>B10117</t>
  </si>
  <si>
    <t>B10118</t>
  </si>
  <si>
    <t>28-Jun-2026</t>
  </si>
  <si>
    <t>B10119</t>
  </si>
  <si>
    <t>B10120</t>
  </si>
  <si>
    <t>22-Mar-2026</t>
  </si>
  <si>
    <t>B10121</t>
  </si>
  <si>
    <t>B10122</t>
  </si>
  <si>
    <t>23-Apr-2026</t>
  </si>
  <si>
    <t>B10123</t>
  </si>
  <si>
    <t>10-Feb-2026</t>
  </si>
  <si>
    <t>B10124</t>
  </si>
  <si>
    <t>B10125</t>
  </si>
  <si>
    <t>B10126</t>
  </si>
  <si>
    <t>B10127</t>
  </si>
  <si>
    <t>B10128</t>
  </si>
  <si>
    <t>B10129</t>
  </si>
  <si>
    <t>B10130</t>
  </si>
  <si>
    <t>25-Jun-2026</t>
  </si>
  <si>
    <t>B10131</t>
  </si>
  <si>
    <t>03-Mar-2026</t>
  </si>
  <si>
    <t>B10132</t>
  </si>
  <si>
    <t>B10133</t>
  </si>
  <si>
    <t>B10134</t>
  </si>
  <si>
    <t>B10135</t>
  </si>
  <si>
    <t>28-Apr-2026</t>
  </si>
  <si>
    <t>B10136</t>
  </si>
  <si>
    <t>B10137</t>
  </si>
  <si>
    <t>B10138</t>
  </si>
  <si>
    <t>14-Mar-2026</t>
  </si>
  <si>
    <t>B10139</t>
  </si>
  <si>
    <t>26-May-2026</t>
  </si>
  <si>
    <t>B10140</t>
  </si>
  <si>
    <t>20-May-2026</t>
  </si>
  <si>
    <t>B10141</t>
  </si>
  <si>
    <t>22-Apr-2026</t>
  </si>
  <si>
    <t>B10142</t>
  </si>
  <si>
    <t>B10143</t>
  </si>
  <si>
    <t>01-Jun-2026</t>
  </si>
  <si>
    <t>B10144</t>
  </si>
  <si>
    <t>B10145</t>
  </si>
  <si>
    <t>18-Feb-2026</t>
  </si>
  <si>
    <t>B10146</t>
  </si>
  <si>
    <t>18-May-2026</t>
  </si>
  <si>
    <t>B10147</t>
  </si>
  <si>
    <t>27-May-2026</t>
  </si>
  <si>
    <t>B10148</t>
  </si>
  <si>
    <t>B10149</t>
  </si>
  <si>
    <t>27-Feb-2026</t>
  </si>
  <si>
    <t>B10150</t>
  </si>
  <si>
    <t>B10151</t>
  </si>
  <si>
    <t>20-Jun-2026</t>
  </si>
  <si>
    <t>B10152</t>
  </si>
  <si>
    <t>B10153</t>
  </si>
  <si>
    <t>B10154</t>
  </si>
  <si>
    <t>B10155</t>
  </si>
  <si>
    <t>B10156</t>
  </si>
  <si>
    <t>24-Jun-2026</t>
  </si>
  <si>
    <t>B10157</t>
  </si>
  <si>
    <t>24-May-2026</t>
  </si>
  <si>
    <t>B10158</t>
  </si>
  <si>
    <t>B10159</t>
  </si>
  <si>
    <t>B10160</t>
  </si>
  <si>
    <t>B10161</t>
  </si>
  <si>
    <t>B10162</t>
  </si>
  <si>
    <t>B10163</t>
  </si>
  <si>
    <t>06-Feb-2026</t>
  </si>
  <si>
    <t>B10164</t>
  </si>
  <si>
    <t>B10165</t>
  </si>
  <si>
    <t>B10166</t>
  </si>
  <si>
    <t>17-Jan-2026</t>
  </si>
  <si>
    <t>B10167</t>
  </si>
  <si>
    <t>B10168</t>
  </si>
  <si>
    <t>09-Mar-2026</t>
  </si>
  <si>
    <t>B10169</t>
  </si>
  <si>
    <t>B10170</t>
  </si>
  <si>
    <t>B10171</t>
  </si>
  <si>
    <t>B10172</t>
  </si>
  <si>
    <t>B10173</t>
  </si>
  <si>
    <t>B10174</t>
  </si>
  <si>
    <t>31-Mar-2026</t>
  </si>
  <si>
    <t>B10175</t>
  </si>
  <si>
    <t>B10176</t>
  </si>
  <si>
    <t>30-May-2026</t>
  </si>
  <si>
    <t>B10177</t>
  </si>
  <si>
    <t>B10178</t>
  </si>
  <si>
    <t>B10179</t>
  </si>
  <si>
    <t>23-Jun-2026</t>
  </si>
  <si>
    <t>B10180</t>
  </si>
  <si>
    <t>B10181</t>
  </si>
  <si>
    <t>06-Jan-2026</t>
  </si>
  <si>
    <t>B10182</t>
  </si>
  <si>
    <t>04-Feb-2026</t>
  </si>
  <si>
    <t>B10183</t>
  </si>
  <si>
    <t>B10184</t>
  </si>
  <si>
    <t>B10185</t>
  </si>
  <si>
    <t>10-Jun-2026</t>
  </si>
  <si>
    <t>B10186</t>
  </si>
  <si>
    <t>B10187</t>
  </si>
  <si>
    <t>22-Feb-2026</t>
  </si>
  <si>
    <t>B10188</t>
  </si>
  <si>
    <t>11-Feb-2026</t>
  </si>
  <si>
    <t>B10189</t>
  </si>
  <si>
    <t>B10190</t>
  </si>
  <si>
    <t>12-Feb-2026</t>
  </si>
  <si>
    <t>B10191</t>
  </si>
  <si>
    <t>B10192</t>
  </si>
  <si>
    <t>B10193</t>
  </si>
  <si>
    <t>B10194</t>
  </si>
  <si>
    <t>B10195</t>
  </si>
  <si>
    <t>B10196</t>
  </si>
  <si>
    <t>B10197</t>
  </si>
  <si>
    <t>15-Feb-2026</t>
  </si>
  <si>
    <t>B10198</t>
  </si>
  <si>
    <t>B10199</t>
  </si>
  <si>
    <t>B10200</t>
  </si>
  <si>
    <t>Row Labels</t>
  </si>
  <si>
    <t>Grand Total</t>
  </si>
  <si>
    <t>Sum of Net Sales</t>
  </si>
  <si>
    <t>Sum of Unit Price</t>
  </si>
  <si>
    <t>Sum of Discount %</t>
  </si>
  <si>
    <t>Count of Bill No</t>
  </si>
  <si>
    <t>Mall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</si>
</sst>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3" x14ac:knownFonts="1">
    <font>
      <sz val="11"/>
      <color theme="1"/>
      <name val="Calibri"/>
      <family val="2"/>
      <scheme val="minor"/>
    </font>
    <font>
      <b/>
      <sz val="20"/>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Alignment="1">
      <alignment horizontal="left" indent="2"/>
    </xf>
    <xf numFmtId="0" fontId="0" fillId="2" borderId="0" xfId="0" applyFill="1"/>
    <xf numFmtId="0" fontId="1" fillId="2" borderId="0" xfId="0" applyFont="1" applyFill="1"/>
    <xf numFmtId="0" fontId="2" fillId="2" borderId="0" xfId="0" applyFont="1" applyFill="1"/>
  </cellXfs>
  <cellStyles count="1">
    <cellStyle name="Normal" xfId="0" builtinId="0"/>
  </cellStyles>
  <dxfs count="1">
    <dxf>
      <numFmt numFmtId="164" formatCode="0.00,&quot;M&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5.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onnections" Target="connections.xml"/><Relationship Id="rId10" Type="http://schemas.openxmlformats.org/officeDocument/2006/relationships/pivotCacheDefinition" Target="pivotCache/pivotCacheDefinition6.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Sheet1!$B$18</c:f>
              <c:strCache>
                <c:ptCount val="1"/>
                <c:pt idx="0">
                  <c:v>Total</c:v>
                </c:pt>
              </c:strCache>
            </c:strRef>
          </c:tx>
          <c:spPr>
            <a:ln w="28575" cap="rnd">
              <a:solidFill>
                <a:schemeClr val="accent1"/>
              </a:solidFill>
              <a:round/>
            </a:ln>
            <a:effectLst/>
          </c:spPr>
          <c:marker>
            <c:symbol val="none"/>
          </c:marker>
          <c:cat>
            <c:strRef>
              <c:f>Sheet1!$A$19:$A$130</c:f>
              <c:strCache>
                <c:ptCount val="111"/>
                <c:pt idx="0">
                  <c:v>01-Apr-2026</c:v>
                </c:pt>
                <c:pt idx="1">
                  <c:v>01-Jun-2026</c:v>
                </c:pt>
                <c:pt idx="2">
                  <c:v>02-Apr-2026</c:v>
                </c:pt>
                <c:pt idx="3">
                  <c:v>02-Feb-2026</c:v>
                </c:pt>
                <c:pt idx="4">
                  <c:v>02-May-2026</c:v>
                </c:pt>
                <c:pt idx="5">
                  <c:v>03-Apr-2026</c:v>
                </c:pt>
                <c:pt idx="6">
                  <c:v>03-Feb-2026</c:v>
                </c:pt>
                <c:pt idx="7">
                  <c:v>03-Jun-2026</c:v>
                </c:pt>
                <c:pt idx="8">
                  <c:v>03-Mar-2026</c:v>
                </c:pt>
                <c:pt idx="9">
                  <c:v>04-Apr-2026</c:v>
                </c:pt>
                <c:pt idx="10">
                  <c:v>04-Feb-2026</c:v>
                </c:pt>
                <c:pt idx="11">
                  <c:v>04-Jan-2026</c:v>
                </c:pt>
                <c:pt idx="12">
                  <c:v>04-Jun-2026</c:v>
                </c:pt>
                <c:pt idx="13">
                  <c:v>04-May-2026</c:v>
                </c:pt>
                <c:pt idx="14">
                  <c:v>05-Jan-2026</c:v>
                </c:pt>
                <c:pt idx="15">
                  <c:v>05-Jun-2026</c:v>
                </c:pt>
                <c:pt idx="16">
                  <c:v>05-May-2026</c:v>
                </c:pt>
                <c:pt idx="17">
                  <c:v>06-Apr-2026</c:v>
                </c:pt>
                <c:pt idx="18">
                  <c:v>06-Feb-2026</c:v>
                </c:pt>
                <c:pt idx="19">
                  <c:v>06-Jan-2026</c:v>
                </c:pt>
                <c:pt idx="20">
                  <c:v>06-Mar-2026</c:v>
                </c:pt>
                <c:pt idx="21">
                  <c:v>07-Apr-2026</c:v>
                </c:pt>
                <c:pt idx="22">
                  <c:v>07-Jan-2026</c:v>
                </c:pt>
                <c:pt idx="23">
                  <c:v>07-Jun-2026</c:v>
                </c:pt>
                <c:pt idx="24">
                  <c:v>07-Mar-2026</c:v>
                </c:pt>
                <c:pt idx="25">
                  <c:v>07-May-2026</c:v>
                </c:pt>
                <c:pt idx="26">
                  <c:v>08-Feb-2026</c:v>
                </c:pt>
                <c:pt idx="27">
                  <c:v>08-Jan-2026</c:v>
                </c:pt>
                <c:pt idx="28">
                  <c:v>08-Jun-2026</c:v>
                </c:pt>
                <c:pt idx="29">
                  <c:v>09-Feb-2026</c:v>
                </c:pt>
                <c:pt idx="30">
                  <c:v>09-Jun-2026</c:v>
                </c:pt>
                <c:pt idx="31">
                  <c:v>09-Mar-2026</c:v>
                </c:pt>
                <c:pt idx="32">
                  <c:v>10-Feb-2026</c:v>
                </c:pt>
                <c:pt idx="33">
                  <c:v>10-Jan-2026</c:v>
                </c:pt>
                <c:pt idx="34">
                  <c:v>10-Jun-2026</c:v>
                </c:pt>
                <c:pt idx="35">
                  <c:v>10-Mar-2026</c:v>
                </c:pt>
                <c:pt idx="36">
                  <c:v>11-Feb-2026</c:v>
                </c:pt>
                <c:pt idx="37">
                  <c:v>11-Jun-2026</c:v>
                </c:pt>
                <c:pt idx="38">
                  <c:v>11-Mar-2026</c:v>
                </c:pt>
                <c:pt idx="39">
                  <c:v>11-May-2026</c:v>
                </c:pt>
                <c:pt idx="40">
                  <c:v>12-Apr-2026</c:v>
                </c:pt>
                <c:pt idx="41">
                  <c:v>12-Feb-2026</c:v>
                </c:pt>
                <c:pt idx="42">
                  <c:v>12-Jun-2026</c:v>
                </c:pt>
                <c:pt idx="43">
                  <c:v>12-Mar-2026</c:v>
                </c:pt>
                <c:pt idx="44">
                  <c:v>13-Apr-2026</c:v>
                </c:pt>
                <c:pt idx="45">
                  <c:v>13-Feb-2026</c:v>
                </c:pt>
                <c:pt idx="46">
                  <c:v>13-May-2026</c:v>
                </c:pt>
                <c:pt idx="47">
                  <c:v>14-Feb-2026</c:v>
                </c:pt>
                <c:pt idx="48">
                  <c:v>14-Mar-2026</c:v>
                </c:pt>
                <c:pt idx="49">
                  <c:v>15-Apr-2026</c:v>
                </c:pt>
                <c:pt idx="50">
                  <c:v>15-Feb-2026</c:v>
                </c:pt>
                <c:pt idx="51">
                  <c:v>15-Mar-2026</c:v>
                </c:pt>
                <c:pt idx="52">
                  <c:v>15-May-2026</c:v>
                </c:pt>
                <c:pt idx="53">
                  <c:v>16-Apr-2026</c:v>
                </c:pt>
                <c:pt idx="54">
                  <c:v>16-Feb-2026</c:v>
                </c:pt>
                <c:pt idx="55">
                  <c:v>16-Jun-2026</c:v>
                </c:pt>
                <c:pt idx="56">
                  <c:v>17-Apr-2026</c:v>
                </c:pt>
                <c:pt idx="57">
                  <c:v>17-Feb-2026</c:v>
                </c:pt>
                <c:pt idx="58">
                  <c:v>17-Jan-2026</c:v>
                </c:pt>
                <c:pt idx="59">
                  <c:v>17-Mar-2026</c:v>
                </c:pt>
                <c:pt idx="60">
                  <c:v>18-Feb-2026</c:v>
                </c:pt>
                <c:pt idx="61">
                  <c:v>18-May-2026</c:v>
                </c:pt>
                <c:pt idx="62">
                  <c:v>19-Apr-2026</c:v>
                </c:pt>
                <c:pt idx="63">
                  <c:v>19-Feb-2026</c:v>
                </c:pt>
                <c:pt idx="64">
                  <c:v>19-Jan-2026</c:v>
                </c:pt>
                <c:pt idx="65">
                  <c:v>20-May-2026</c:v>
                </c:pt>
                <c:pt idx="66">
                  <c:v>21-Apr-2026</c:v>
                </c:pt>
                <c:pt idx="67">
                  <c:v>21-Jan-2026</c:v>
                </c:pt>
                <c:pt idx="68">
                  <c:v>21-Mar-2026</c:v>
                </c:pt>
                <c:pt idx="69">
                  <c:v>22-Apr-2026</c:v>
                </c:pt>
                <c:pt idx="70">
                  <c:v>22-Feb-2026</c:v>
                </c:pt>
                <c:pt idx="71">
                  <c:v>22-Jan-2026</c:v>
                </c:pt>
                <c:pt idx="72">
                  <c:v>22-Jun-2026</c:v>
                </c:pt>
                <c:pt idx="73">
                  <c:v>22-Mar-2026</c:v>
                </c:pt>
                <c:pt idx="74">
                  <c:v>22-May-2026</c:v>
                </c:pt>
                <c:pt idx="75">
                  <c:v>23-Apr-2026</c:v>
                </c:pt>
                <c:pt idx="76">
                  <c:v>23-Feb-2026</c:v>
                </c:pt>
                <c:pt idx="77">
                  <c:v>23-Jan-2026</c:v>
                </c:pt>
                <c:pt idx="78">
                  <c:v>23-Jun-2026</c:v>
                </c:pt>
                <c:pt idx="79">
                  <c:v>23-May-2026</c:v>
                </c:pt>
                <c:pt idx="80">
                  <c:v>24-Apr-2026</c:v>
                </c:pt>
                <c:pt idx="81">
                  <c:v>24-Jan-2026</c:v>
                </c:pt>
                <c:pt idx="82">
                  <c:v>24-Jun-2026</c:v>
                </c:pt>
                <c:pt idx="83">
                  <c:v>24-May-2026</c:v>
                </c:pt>
                <c:pt idx="84">
                  <c:v>25-Apr-2026</c:v>
                </c:pt>
                <c:pt idx="85">
                  <c:v>25-Feb-2026</c:v>
                </c:pt>
                <c:pt idx="86">
                  <c:v>25-Jan-2026</c:v>
                </c:pt>
                <c:pt idx="87">
                  <c:v>25-Jun-2026</c:v>
                </c:pt>
                <c:pt idx="88">
                  <c:v>25-Mar-2026</c:v>
                </c:pt>
                <c:pt idx="89">
                  <c:v>26-Apr-2026</c:v>
                </c:pt>
                <c:pt idx="90">
                  <c:v>26-Jan-2026</c:v>
                </c:pt>
                <c:pt idx="91">
                  <c:v>26-May-2026</c:v>
                </c:pt>
                <c:pt idx="92">
                  <c:v>27-Feb-2026</c:v>
                </c:pt>
                <c:pt idx="93">
                  <c:v>27-Jun-2026</c:v>
                </c:pt>
                <c:pt idx="94">
                  <c:v>27-Mar-2026</c:v>
                </c:pt>
                <c:pt idx="95">
                  <c:v>27-May-2026</c:v>
                </c:pt>
                <c:pt idx="96">
                  <c:v>28-Apr-2026</c:v>
                </c:pt>
                <c:pt idx="97">
                  <c:v>28-Jan-2026</c:v>
                </c:pt>
                <c:pt idx="98">
                  <c:v>28-Jun-2026</c:v>
                </c:pt>
                <c:pt idx="99">
                  <c:v>28-Mar-2026</c:v>
                </c:pt>
                <c:pt idx="100">
                  <c:v>28-May-2026</c:v>
                </c:pt>
                <c:pt idx="101">
                  <c:v>29-Apr-2026</c:v>
                </c:pt>
                <c:pt idx="102">
                  <c:v>29-Jan-2026</c:v>
                </c:pt>
                <c:pt idx="103">
                  <c:v>29-Jun-2026</c:v>
                </c:pt>
                <c:pt idx="104">
                  <c:v>29-May-2026</c:v>
                </c:pt>
                <c:pt idx="105">
                  <c:v>30-Apr-2026</c:v>
                </c:pt>
                <c:pt idx="106">
                  <c:v>30-Jun-2026</c:v>
                </c:pt>
                <c:pt idx="107">
                  <c:v>30-May-2026</c:v>
                </c:pt>
                <c:pt idx="108">
                  <c:v>31-Jan-2026</c:v>
                </c:pt>
                <c:pt idx="109">
                  <c:v>31-Mar-2026</c:v>
                </c:pt>
                <c:pt idx="110">
                  <c:v>31-May-2026</c:v>
                </c:pt>
              </c:strCache>
            </c:strRef>
          </c:cat>
          <c:val>
            <c:numRef>
              <c:f>Sheet1!$B$19:$B$130</c:f>
              <c:numCache>
                <c:formatCode>General</c:formatCode>
                <c:ptCount val="111"/>
                <c:pt idx="0">
                  <c:v>11875</c:v>
                </c:pt>
                <c:pt idx="1">
                  <c:v>26000</c:v>
                </c:pt>
                <c:pt idx="2">
                  <c:v>5850</c:v>
                </c:pt>
                <c:pt idx="3">
                  <c:v>20050</c:v>
                </c:pt>
                <c:pt idx="4">
                  <c:v>24700</c:v>
                </c:pt>
                <c:pt idx="5">
                  <c:v>12160</c:v>
                </c:pt>
                <c:pt idx="6">
                  <c:v>9727.5</c:v>
                </c:pt>
                <c:pt idx="7">
                  <c:v>5525</c:v>
                </c:pt>
                <c:pt idx="8">
                  <c:v>22100</c:v>
                </c:pt>
                <c:pt idx="9">
                  <c:v>1215</c:v>
                </c:pt>
                <c:pt idx="10">
                  <c:v>10625</c:v>
                </c:pt>
                <c:pt idx="11">
                  <c:v>12915</c:v>
                </c:pt>
                <c:pt idx="12">
                  <c:v>8655</c:v>
                </c:pt>
                <c:pt idx="13">
                  <c:v>6500</c:v>
                </c:pt>
                <c:pt idx="14">
                  <c:v>15640</c:v>
                </c:pt>
                <c:pt idx="15">
                  <c:v>5850</c:v>
                </c:pt>
                <c:pt idx="16">
                  <c:v>12195</c:v>
                </c:pt>
                <c:pt idx="17">
                  <c:v>7980</c:v>
                </c:pt>
                <c:pt idx="18">
                  <c:v>4250</c:v>
                </c:pt>
                <c:pt idx="19">
                  <c:v>22100</c:v>
                </c:pt>
                <c:pt idx="20">
                  <c:v>7500</c:v>
                </c:pt>
                <c:pt idx="21">
                  <c:v>4177.5</c:v>
                </c:pt>
                <c:pt idx="22">
                  <c:v>2947.5</c:v>
                </c:pt>
                <c:pt idx="23">
                  <c:v>57440</c:v>
                </c:pt>
                <c:pt idx="24">
                  <c:v>6650</c:v>
                </c:pt>
                <c:pt idx="25">
                  <c:v>25575</c:v>
                </c:pt>
                <c:pt idx="26">
                  <c:v>8400</c:v>
                </c:pt>
                <c:pt idx="27">
                  <c:v>11430</c:v>
                </c:pt>
                <c:pt idx="28">
                  <c:v>4560</c:v>
                </c:pt>
                <c:pt idx="29">
                  <c:v>9000</c:v>
                </c:pt>
                <c:pt idx="30">
                  <c:v>27135</c:v>
                </c:pt>
                <c:pt idx="31">
                  <c:v>10500</c:v>
                </c:pt>
                <c:pt idx="32">
                  <c:v>11650</c:v>
                </c:pt>
                <c:pt idx="33">
                  <c:v>7507.5</c:v>
                </c:pt>
                <c:pt idx="34">
                  <c:v>8500</c:v>
                </c:pt>
                <c:pt idx="35">
                  <c:v>1282.5</c:v>
                </c:pt>
                <c:pt idx="36">
                  <c:v>1710</c:v>
                </c:pt>
                <c:pt idx="37">
                  <c:v>13050</c:v>
                </c:pt>
                <c:pt idx="38">
                  <c:v>20097.5</c:v>
                </c:pt>
                <c:pt idx="39">
                  <c:v>2250</c:v>
                </c:pt>
                <c:pt idx="40">
                  <c:v>9450</c:v>
                </c:pt>
                <c:pt idx="41">
                  <c:v>5400</c:v>
                </c:pt>
                <c:pt idx="42">
                  <c:v>6725</c:v>
                </c:pt>
                <c:pt idx="43">
                  <c:v>27720</c:v>
                </c:pt>
                <c:pt idx="44">
                  <c:v>20350</c:v>
                </c:pt>
                <c:pt idx="45">
                  <c:v>14750</c:v>
                </c:pt>
                <c:pt idx="46">
                  <c:v>855</c:v>
                </c:pt>
                <c:pt idx="47">
                  <c:v>45950</c:v>
                </c:pt>
                <c:pt idx="48">
                  <c:v>5100</c:v>
                </c:pt>
                <c:pt idx="49">
                  <c:v>3060</c:v>
                </c:pt>
                <c:pt idx="50">
                  <c:v>2137.5</c:v>
                </c:pt>
                <c:pt idx="51">
                  <c:v>14200</c:v>
                </c:pt>
                <c:pt idx="52">
                  <c:v>7125</c:v>
                </c:pt>
                <c:pt idx="53">
                  <c:v>8520</c:v>
                </c:pt>
                <c:pt idx="54">
                  <c:v>2025</c:v>
                </c:pt>
                <c:pt idx="55">
                  <c:v>5525</c:v>
                </c:pt>
                <c:pt idx="56">
                  <c:v>17550</c:v>
                </c:pt>
                <c:pt idx="57">
                  <c:v>4540</c:v>
                </c:pt>
                <c:pt idx="58">
                  <c:v>7130</c:v>
                </c:pt>
                <c:pt idx="59">
                  <c:v>20305</c:v>
                </c:pt>
                <c:pt idx="60">
                  <c:v>10800</c:v>
                </c:pt>
                <c:pt idx="61">
                  <c:v>10625</c:v>
                </c:pt>
                <c:pt idx="62">
                  <c:v>1020</c:v>
                </c:pt>
                <c:pt idx="63">
                  <c:v>13160</c:v>
                </c:pt>
                <c:pt idx="64">
                  <c:v>5600</c:v>
                </c:pt>
                <c:pt idx="65">
                  <c:v>3600</c:v>
                </c:pt>
                <c:pt idx="66">
                  <c:v>16375</c:v>
                </c:pt>
                <c:pt idx="67">
                  <c:v>15480</c:v>
                </c:pt>
                <c:pt idx="68">
                  <c:v>15895</c:v>
                </c:pt>
                <c:pt idx="69">
                  <c:v>24700</c:v>
                </c:pt>
                <c:pt idx="70">
                  <c:v>2025</c:v>
                </c:pt>
                <c:pt idx="71">
                  <c:v>1800</c:v>
                </c:pt>
                <c:pt idx="72">
                  <c:v>18400</c:v>
                </c:pt>
                <c:pt idx="73">
                  <c:v>30780</c:v>
                </c:pt>
                <c:pt idx="74">
                  <c:v>31927.5</c:v>
                </c:pt>
                <c:pt idx="75">
                  <c:v>35675</c:v>
                </c:pt>
                <c:pt idx="76">
                  <c:v>24700</c:v>
                </c:pt>
                <c:pt idx="77">
                  <c:v>17370</c:v>
                </c:pt>
                <c:pt idx="78">
                  <c:v>12500</c:v>
                </c:pt>
                <c:pt idx="79">
                  <c:v>11250</c:v>
                </c:pt>
                <c:pt idx="80">
                  <c:v>9500</c:v>
                </c:pt>
                <c:pt idx="81">
                  <c:v>2730</c:v>
                </c:pt>
                <c:pt idx="82">
                  <c:v>1912.5</c:v>
                </c:pt>
                <c:pt idx="83">
                  <c:v>10500</c:v>
                </c:pt>
                <c:pt idx="84">
                  <c:v>24500</c:v>
                </c:pt>
                <c:pt idx="85">
                  <c:v>9390</c:v>
                </c:pt>
                <c:pt idx="86">
                  <c:v>23265</c:v>
                </c:pt>
                <c:pt idx="87">
                  <c:v>6650</c:v>
                </c:pt>
                <c:pt idx="88">
                  <c:v>4560</c:v>
                </c:pt>
                <c:pt idx="89">
                  <c:v>11050</c:v>
                </c:pt>
                <c:pt idx="90">
                  <c:v>4095</c:v>
                </c:pt>
                <c:pt idx="91">
                  <c:v>6000</c:v>
                </c:pt>
                <c:pt idx="92">
                  <c:v>2125</c:v>
                </c:pt>
                <c:pt idx="93">
                  <c:v>23400</c:v>
                </c:pt>
                <c:pt idx="94">
                  <c:v>10690</c:v>
                </c:pt>
                <c:pt idx="95">
                  <c:v>7980</c:v>
                </c:pt>
                <c:pt idx="96">
                  <c:v>10850</c:v>
                </c:pt>
                <c:pt idx="97">
                  <c:v>17500</c:v>
                </c:pt>
                <c:pt idx="98">
                  <c:v>8707.5</c:v>
                </c:pt>
                <c:pt idx="99">
                  <c:v>11657.5</c:v>
                </c:pt>
                <c:pt idx="100">
                  <c:v>4800</c:v>
                </c:pt>
                <c:pt idx="101">
                  <c:v>3850</c:v>
                </c:pt>
                <c:pt idx="102">
                  <c:v>16625</c:v>
                </c:pt>
                <c:pt idx="103">
                  <c:v>11300</c:v>
                </c:pt>
                <c:pt idx="104">
                  <c:v>29250</c:v>
                </c:pt>
                <c:pt idx="105">
                  <c:v>10500</c:v>
                </c:pt>
                <c:pt idx="106">
                  <c:v>12600</c:v>
                </c:pt>
                <c:pt idx="107">
                  <c:v>7000</c:v>
                </c:pt>
                <c:pt idx="108">
                  <c:v>11200</c:v>
                </c:pt>
                <c:pt idx="109">
                  <c:v>382.5</c:v>
                </c:pt>
                <c:pt idx="110">
                  <c:v>10587.5</c:v>
                </c:pt>
              </c:numCache>
            </c:numRef>
          </c:val>
          <c:smooth val="0"/>
          <c:extLst>
            <c:ext xmlns:c16="http://schemas.microsoft.com/office/drawing/2014/chart" uri="{C3380CC4-5D6E-409C-BE32-E72D297353CC}">
              <c16:uniqueId val="{00000000-122A-4365-9D6D-0F742D666969}"/>
            </c:ext>
          </c:extLst>
        </c:ser>
        <c:dLbls>
          <c:showLegendKey val="0"/>
          <c:showVal val="0"/>
          <c:showCatName val="0"/>
          <c:showSerName val="0"/>
          <c:showPercent val="0"/>
          <c:showBubbleSize val="0"/>
        </c:dLbls>
        <c:smooth val="0"/>
        <c:axId val="433884528"/>
        <c:axId val="428138880"/>
      </c:lineChart>
      <c:catAx>
        <c:axId val="43388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38880"/>
        <c:crosses val="autoZero"/>
        <c:auto val="1"/>
        <c:lblAlgn val="ctr"/>
        <c:lblOffset val="100"/>
        <c:noMultiLvlLbl val="0"/>
      </c:catAx>
      <c:valAx>
        <c:axId val="4281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8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Sheet1!$A$2:$A$7</c:f>
              <c:strCache>
                <c:ptCount val="5"/>
                <c:pt idx="0">
                  <c:v>Central</c:v>
                </c:pt>
                <c:pt idx="1">
                  <c:v>East</c:v>
                </c:pt>
                <c:pt idx="2">
                  <c:v>North</c:v>
                </c:pt>
                <c:pt idx="3">
                  <c:v>South</c:v>
                </c:pt>
                <c:pt idx="4">
                  <c:v>West</c:v>
                </c:pt>
              </c:strCache>
            </c:strRef>
          </c:cat>
          <c:val>
            <c:numRef>
              <c:f>Sheet1!$B$2:$B$7</c:f>
              <c:numCache>
                <c:formatCode>0.00,"M"</c:formatCode>
                <c:ptCount val="5"/>
                <c:pt idx="0">
                  <c:v>335735</c:v>
                </c:pt>
                <c:pt idx="1">
                  <c:v>296937.5</c:v>
                </c:pt>
                <c:pt idx="2">
                  <c:v>253590</c:v>
                </c:pt>
                <c:pt idx="3">
                  <c:v>261825</c:v>
                </c:pt>
                <c:pt idx="4">
                  <c:v>286870</c:v>
                </c:pt>
              </c:numCache>
            </c:numRef>
          </c:val>
          <c:extLst>
            <c:ext xmlns:c16="http://schemas.microsoft.com/office/drawing/2014/chart" uri="{C3380CC4-5D6E-409C-BE32-E72D297353CC}">
              <c16:uniqueId val="{00000000-349A-454B-8A7F-97578A714CC0}"/>
            </c:ext>
          </c:extLst>
        </c:ser>
        <c:dLbls>
          <c:showLegendKey val="0"/>
          <c:showVal val="0"/>
          <c:showCatName val="0"/>
          <c:showSerName val="0"/>
          <c:showPercent val="0"/>
          <c:showBubbleSize val="0"/>
        </c:dLbls>
        <c:gapWidth val="219"/>
        <c:overlap val="-27"/>
        <c:axId val="736778656"/>
        <c:axId val="736781608"/>
      </c:barChart>
      <c:catAx>
        <c:axId val="73677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781608"/>
        <c:crosses val="autoZero"/>
        <c:auto val="1"/>
        <c:lblAlgn val="ctr"/>
        <c:lblOffset val="100"/>
        <c:noMultiLvlLbl val="0"/>
      </c:catAx>
      <c:valAx>
        <c:axId val="73678160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77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Copy.xlsx]Sheet1!PivotTable5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cat>
            <c:strRef>
              <c:f>Sheet1!$A$12:$A$13</c:f>
              <c:strCache>
                <c:ptCount val="1"/>
                <c:pt idx="0">
                  <c:v>Fashion</c:v>
                </c:pt>
              </c:strCache>
            </c:strRef>
          </c:cat>
          <c:val>
            <c:numRef>
              <c:f>Sheet1!$B$12:$B$13</c:f>
              <c:numCache>
                <c:formatCode>0.00,"M"</c:formatCode>
                <c:ptCount val="1"/>
                <c:pt idx="0">
                  <c:v>353690</c:v>
                </c:pt>
              </c:numCache>
            </c:numRef>
          </c:val>
          <c:extLst>
            <c:ext xmlns:c16="http://schemas.microsoft.com/office/drawing/2014/chart" uri="{C3380CC4-5D6E-409C-BE32-E72D297353CC}">
              <c16:uniqueId val="{00000000-EA47-4405-B18A-D66DC3BB498F}"/>
            </c:ext>
          </c:extLst>
        </c:ser>
        <c:dLbls>
          <c:showLegendKey val="0"/>
          <c:showVal val="0"/>
          <c:showCatName val="0"/>
          <c:showSerName val="0"/>
          <c:showPercent val="0"/>
          <c:showBubbleSize val="0"/>
        </c:dLbls>
        <c:gapWidth val="182"/>
        <c:axId val="809987408"/>
        <c:axId val="809987736"/>
      </c:barChart>
      <c:catAx>
        <c:axId val="80998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87736"/>
        <c:crosses val="autoZero"/>
        <c:auto val="1"/>
        <c:lblAlgn val="ctr"/>
        <c:lblOffset val="100"/>
        <c:noMultiLvlLbl val="0"/>
      </c:catAx>
      <c:valAx>
        <c:axId val="809987736"/>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8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Copy.xlsx]Sheet2!PivotTable17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Sheet2!$G$4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CF-4DD1-A012-9521209F0E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CF-4DD1-A012-9521209F0E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CF-4DD1-A012-9521209F0E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CF-4DD1-A012-9521209F0E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CF-4DD1-A012-9521209F0E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CF-4DD1-A012-9521209F0ECB}"/>
              </c:ext>
            </c:extLst>
          </c:dPt>
          <c:cat>
            <c:strRef>
              <c:f>Sheet2!$F$5:$F$11</c:f>
              <c:strCache>
                <c:ptCount val="6"/>
                <c:pt idx="0">
                  <c:v>Accessories</c:v>
                </c:pt>
                <c:pt idx="1">
                  <c:v>Men</c:v>
                </c:pt>
                <c:pt idx="2">
                  <c:v>Sports</c:v>
                </c:pt>
                <c:pt idx="3">
                  <c:v>Staples</c:v>
                </c:pt>
                <c:pt idx="4">
                  <c:v>Wearables</c:v>
                </c:pt>
                <c:pt idx="5">
                  <c:v>Women</c:v>
                </c:pt>
              </c:strCache>
            </c:strRef>
          </c:cat>
          <c:val>
            <c:numRef>
              <c:f>Sheet2!$G$5:$G$11</c:f>
              <c:numCache>
                <c:formatCode>General</c:formatCode>
                <c:ptCount val="6"/>
                <c:pt idx="0">
                  <c:v>251825</c:v>
                </c:pt>
                <c:pt idx="1">
                  <c:v>109440</c:v>
                </c:pt>
                <c:pt idx="2">
                  <c:v>251860</c:v>
                </c:pt>
                <c:pt idx="3">
                  <c:v>55957.5</c:v>
                </c:pt>
                <c:pt idx="4">
                  <c:v>521625</c:v>
                </c:pt>
                <c:pt idx="5">
                  <c:v>244250</c:v>
                </c:pt>
              </c:numCache>
            </c:numRef>
          </c:val>
          <c:extLst>
            <c:ext xmlns:c16="http://schemas.microsoft.com/office/drawing/2014/chart" uri="{C3380CC4-5D6E-409C-BE32-E72D297353CC}">
              <c16:uniqueId val="{00000000-DCE0-42AC-8F1E-FF2A2E62D9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Copy.xlsx]Sheet2!PivotTable15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Sheet2!$E$19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90-4DC2-A24F-979F48DD94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90-4DC2-A24F-979F48DD94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90-4DC2-A24F-979F48DD94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90-4DC2-A24F-979F48DD9420}"/>
              </c:ext>
            </c:extLst>
          </c:dPt>
          <c:cat>
            <c:strRef>
              <c:f>Sheet2!$D$20:$D$24</c:f>
              <c:strCache>
                <c:ptCount val="4"/>
                <c:pt idx="0">
                  <c:v>Cash</c:v>
                </c:pt>
                <c:pt idx="1">
                  <c:v>Credit Card</c:v>
                </c:pt>
                <c:pt idx="2">
                  <c:v>Debit Card</c:v>
                </c:pt>
                <c:pt idx="3">
                  <c:v>UPI</c:v>
                </c:pt>
              </c:strCache>
            </c:strRef>
          </c:cat>
          <c:val>
            <c:numRef>
              <c:f>Sheet2!$E$20:$E$24</c:f>
              <c:numCache>
                <c:formatCode>General</c:formatCode>
                <c:ptCount val="4"/>
                <c:pt idx="0">
                  <c:v>63</c:v>
                </c:pt>
                <c:pt idx="1">
                  <c:v>35</c:v>
                </c:pt>
                <c:pt idx="2">
                  <c:v>51</c:v>
                </c:pt>
                <c:pt idx="3">
                  <c:v>51</c:v>
                </c:pt>
              </c:numCache>
            </c:numRef>
          </c:val>
          <c:extLst>
            <c:ext xmlns:c16="http://schemas.microsoft.com/office/drawing/2014/chart" uri="{C3380CC4-5D6E-409C-BE32-E72D297353CC}">
              <c16:uniqueId val="{00000000-1DA4-46BB-9F14-8462E39643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Copy.xlsx]Sheet2!PivotTable13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8718910136233"/>
          <c:y val="0.15226306171188059"/>
          <c:w val="0.63869364814246699"/>
          <c:h val="0.57482037718258194"/>
        </c:manualLayout>
      </c:layout>
      <c:barChart>
        <c:barDir val="col"/>
        <c:grouping val="clustered"/>
        <c:varyColors val="0"/>
        <c:ser>
          <c:idx val="0"/>
          <c:order val="0"/>
          <c:tx>
            <c:strRef>
              <c:f>Sheet2!$B$3</c:f>
              <c:strCache>
                <c:ptCount val="1"/>
                <c:pt idx="0">
                  <c:v>Sum of Net Sales</c:v>
                </c:pt>
              </c:strCache>
            </c:strRef>
          </c:tx>
          <c:spPr>
            <a:solidFill>
              <a:schemeClr val="accent1"/>
            </a:solidFill>
            <a:ln>
              <a:noFill/>
            </a:ln>
            <a:effectLst/>
          </c:spPr>
          <c:invertIfNegative val="0"/>
          <c:cat>
            <c:multiLvlStrRef>
              <c:f>Sheet2!$A$4:$A$15</c:f>
              <c:multiLvlStrCache>
                <c:ptCount val="5"/>
                <c:lvl>
                  <c:pt idx="0">
                    <c:v>New Delhi</c:v>
                  </c:pt>
                  <c:pt idx="1">
                    <c:v>Bengaluru</c:v>
                  </c:pt>
                  <c:pt idx="2">
                    <c:v>Bhopal</c:v>
                  </c:pt>
                  <c:pt idx="3">
                    <c:v>Mumbai</c:v>
                  </c:pt>
                  <c:pt idx="4">
                    <c:v>Kolkata</c:v>
                  </c:pt>
                </c:lvl>
                <c:lvl>
                  <c:pt idx="0">
                    <c:v>Delhi</c:v>
                  </c:pt>
                  <c:pt idx="1">
                    <c:v>Karnataka</c:v>
                  </c:pt>
                  <c:pt idx="2">
                    <c:v>Madhya Pradesh</c:v>
                  </c:pt>
                  <c:pt idx="3">
                    <c:v>Maharashtra</c:v>
                  </c:pt>
                  <c:pt idx="4">
                    <c:v>West Bengal</c:v>
                  </c:pt>
                </c:lvl>
                <c:lvl>
                  <c:pt idx="0">
                    <c:v>India</c:v>
                  </c:pt>
                </c:lvl>
              </c:multiLvlStrCache>
            </c:multiLvlStrRef>
          </c:cat>
          <c:val>
            <c:numRef>
              <c:f>Sheet2!$B$4:$B$15</c:f>
              <c:numCache>
                <c:formatCode>0.00,"M"</c:formatCode>
                <c:ptCount val="5"/>
                <c:pt idx="0">
                  <c:v>253590</c:v>
                </c:pt>
                <c:pt idx="1">
                  <c:v>261825</c:v>
                </c:pt>
                <c:pt idx="2">
                  <c:v>335735</c:v>
                </c:pt>
                <c:pt idx="3">
                  <c:v>286870</c:v>
                </c:pt>
                <c:pt idx="4">
                  <c:v>296937.5</c:v>
                </c:pt>
              </c:numCache>
            </c:numRef>
          </c:val>
          <c:extLst>
            <c:ext xmlns:c16="http://schemas.microsoft.com/office/drawing/2014/chart" uri="{C3380CC4-5D6E-409C-BE32-E72D297353CC}">
              <c16:uniqueId val="{00000000-AFC8-47D8-A6F8-D55F93E5322A}"/>
            </c:ext>
          </c:extLst>
        </c:ser>
        <c:ser>
          <c:idx val="1"/>
          <c:order val="1"/>
          <c:tx>
            <c:strRef>
              <c:f>Sheet2!$C$3</c:f>
              <c:strCache>
                <c:ptCount val="1"/>
                <c:pt idx="0">
                  <c:v>Sum of Unit Price</c:v>
                </c:pt>
              </c:strCache>
            </c:strRef>
          </c:tx>
          <c:spPr>
            <a:solidFill>
              <a:schemeClr val="accent2"/>
            </a:solidFill>
            <a:ln>
              <a:noFill/>
            </a:ln>
            <a:effectLst/>
          </c:spPr>
          <c:invertIfNegative val="0"/>
          <c:cat>
            <c:multiLvlStrRef>
              <c:f>Sheet2!$A$4:$A$15</c:f>
              <c:multiLvlStrCache>
                <c:ptCount val="5"/>
                <c:lvl>
                  <c:pt idx="0">
                    <c:v>New Delhi</c:v>
                  </c:pt>
                  <c:pt idx="1">
                    <c:v>Bengaluru</c:v>
                  </c:pt>
                  <c:pt idx="2">
                    <c:v>Bhopal</c:v>
                  </c:pt>
                  <c:pt idx="3">
                    <c:v>Mumbai</c:v>
                  </c:pt>
                  <c:pt idx="4">
                    <c:v>Kolkata</c:v>
                  </c:pt>
                </c:lvl>
                <c:lvl>
                  <c:pt idx="0">
                    <c:v>Delhi</c:v>
                  </c:pt>
                  <c:pt idx="1">
                    <c:v>Karnataka</c:v>
                  </c:pt>
                  <c:pt idx="2">
                    <c:v>Madhya Pradesh</c:v>
                  </c:pt>
                  <c:pt idx="3">
                    <c:v>Maharashtra</c:v>
                  </c:pt>
                  <c:pt idx="4">
                    <c:v>West Bengal</c:v>
                  </c:pt>
                </c:lvl>
                <c:lvl>
                  <c:pt idx="0">
                    <c:v>India</c:v>
                  </c:pt>
                </c:lvl>
              </c:multiLvlStrCache>
            </c:multiLvlStrRef>
          </c:cat>
          <c:val>
            <c:numRef>
              <c:f>Sheet2!$C$4:$C$15</c:f>
              <c:numCache>
                <c:formatCode>0.00,"M"</c:formatCode>
                <c:ptCount val="5"/>
                <c:pt idx="0">
                  <c:v>88300</c:v>
                </c:pt>
                <c:pt idx="1">
                  <c:v>114000</c:v>
                </c:pt>
                <c:pt idx="2">
                  <c:v>123950</c:v>
                </c:pt>
                <c:pt idx="3">
                  <c:v>109400</c:v>
                </c:pt>
                <c:pt idx="4">
                  <c:v>101550</c:v>
                </c:pt>
              </c:numCache>
            </c:numRef>
          </c:val>
          <c:extLst>
            <c:ext xmlns:c16="http://schemas.microsoft.com/office/drawing/2014/chart" uri="{C3380CC4-5D6E-409C-BE32-E72D297353CC}">
              <c16:uniqueId val="{00000001-AFC8-47D8-A6F8-D55F93E5322A}"/>
            </c:ext>
          </c:extLst>
        </c:ser>
        <c:ser>
          <c:idx val="2"/>
          <c:order val="2"/>
          <c:tx>
            <c:strRef>
              <c:f>Sheet2!$D$3</c:f>
              <c:strCache>
                <c:ptCount val="1"/>
                <c:pt idx="0">
                  <c:v>Sum of Discount %</c:v>
                </c:pt>
              </c:strCache>
            </c:strRef>
          </c:tx>
          <c:spPr>
            <a:solidFill>
              <a:schemeClr val="accent3"/>
            </a:solidFill>
            <a:ln>
              <a:noFill/>
            </a:ln>
            <a:effectLst/>
          </c:spPr>
          <c:invertIfNegative val="0"/>
          <c:cat>
            <c:multiLvlStrRef>
              <c:f>Sheet2!$A$4:$A$15</c:f>
              <c:multiLvlStrCache>
                <c:ptCount val="5"/>
                <c:lvl>
                  <c:pt idx="0">
                    <c:v>New Delhi</c:v>
                  </c:pt>
                  <c:pt idx="1">
                    <c:v>Bengaluru</c:v>
                  </c:pt>
                  <c:pt idx="2">
                    <c:v>Bhopal</c:v>
                  </c:pt>
                  <c:pt idx="3">
                    <c:v>Mumbai</c:v>
                  </c:pt>
                  <c:pt idx="4">
                    <c:v>Kolkata</c:v>
                  </c:pt>
                </c:lvl>
                <c:lvl>
                  <c:pt idx="0">
                    <c:v>Delhi</c:v>
                  </c:pt>
                  <c:pt idx="1">
                    <c:v>Karnataka</c:v>
                  </c:pt>
                  <c:pt idx="2">
                    <c:v>Madhya Pradesh</c:v>
                  </c:pt>
                  <c:pt idx="3">
                    <c:v>Maharashtra</c:v>
                  </c:pt>
                  <c:pt idx="4">
                    <c:v>West Bengal</c:v>
                  </c:pt>
                </c:lvl>
                <c:lvl>
                  <c:pt idx="0">
                    <c:v>India</c:v>
                  </c:pt>
                </c:lvl>
              </c:multiLvlStrCache>
            </c:multiLvlStrRef>
          </c:cat>
          <c:val>
            <c:numRef>
              <c:f>Sheet2!$D$4:$D$15</c:f>
              <c:numCache>
                <c:formatCode>0.00,"M"</c:formatCode>
                <c:ptCount val="5"/>
                <c:pt idx="0">
                  <c:v>280</c:v>
                </c:pt>
                <c:pt idx="1">
                  <c:v>325</c:v>
                </c:pt>
                <c:pt idx="2">
                  <c:v>280</c:v>
                </c:pt>
                <c:pt idx="3">
                  <c:v>370</c:v>
                </c:pt>
                <c:pt idx="4">
                  <c:v>375</c:v>
                </c:pt>
              </c:numCache>
            </c:numRef>
          </c:val>
          <c:extLst>
            <c:ext xmlns:c16="http://schemas.microsoft.com/office/drawing/2014/chart" uri="{C3380CC4-5D6E-409C-BE32-E72D297353CC}">
              <c16:uniqueId val="{00000002-AFC8-47D8-A6F8-D55F93E5322A}"/>
            </c:ext>
          </c:extLst>
        </c:ser>
        <c:dLbls>
          <c:showLegendKey val="0"/>
          <c:showVal val="0"/>
          <c:showCatName val="0"/>
          <c:showSerName val="0"/>
          <c:showPercent val="0"/>
          <c:showBubbleSize val="0"/>
        </c:dLbls>
        <c:gapWidth val="219"/>
        <c:overlap val="-27"/>
        <c:axId val="740085056"/>
        <c:axId val="740081448"/>
      </c:barChart>
      <c:catAx>
        <c:axId val="7400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081448"/>
        <c:crosses val="autoZero"/>
        <c:auto val="1"/>
        <c:lblAlgn val="ctr"/>
        <c:lblOffset val="100"/>
        <c:noMultiLvlLbl val="0"/>
      </c:catAx>
      <c:valAx>
        <c:axId val="74008144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08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Copy.xlsx]Sheet1!PivotTable6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Sheet1!$B$18</c:f>
              <c:strCache>
                <c:ptCount val="1"/>
                <c:pt idx="0">
                  <c:v>Total</c:v>
                </c:pt>
              </c:strCache>
            </c:strRef>
          </c:tx>
          <c:spPr>
            <a:ln w="28575" cap="rnd">
              <a:solidFill>
                <a:schemeClr val="accent1"/>
              </a:solidFill>
              <a:round/>
            </a:ln>
            <a:effectLst/>
          </c:spPr>
          <c:marker>
            <c:symbol val="none"/>
          </c:marker>
          <c:cat>
            <c:strRef>
              <c:f>Sheet1!$A$19:$A$130</c:f>
              <c:strCache>
                <c:ptCount val="111"/>
                <c:pt idx="0">
                  <c:v>01-Apr-2026</c:v>
                </c:pt>
                <c:pt idx="1">
                  <c:v>01-Jun-2026</c:v>
                </c:pt>
                <c:pt idx="2">
                  <c:v>02-Apr-2026</c:v>
                </c:pt>
                <c:pt idx="3">
                  <c:v>02-Feb-2026</c:v>
                </c:pt>
                <c:pt idx="4">
                  <c:v>02-May-2026</c:v>
                </c:pt>
                <c:pt idx="5">
                  <c:v>03-Apr-2026</c:v>
                </c:pt>
                <c:pt idx="6">
                  <c:v>03-Feb-2026</c:v>
                </c:pt>
                <c:pt idx="7">
                  <c:v>03-Jun-2026</c:v>
                </c:pt>
                <c:pt idx="8">
                  <c:v>03-Mar-2026</c:v>
                </c:pt>
                <c:pt idx="9">
                  <c:v>04-Apr-2026</c:v>
                </c:pt>
                <c:pt idx="10">
                  <c:v>04-Feb-2026</c:v>
                </c:pt>
                <c:pt idx="11">
                  <c:v>04-Jan-2026</c:v>
                </c:pt>
                <c:pt idx="12">
                  <c:v>04-Jun-2026</c:v>
                </c:pt>
                <c:pt idx="13">
                  <c:v>04-May-2026</c:v>
                </c:pt>
                <c:pt idx="14">
                  <c:v>05-Jan-2026</c:v>
                </c:pt>
                <c:pt idx="15">
                  <c:v>05-Jun-2026</c:v>
                </c:pt>
                <c:pt idx="16">
                  <c:v>05-May-2026</c:v>
                </c:pt>
                <c:pt idx="17">
                  <c:v>06-Apr-2026</c:v>
                </c:pt>
                <c:pt idx="18">
                  <c:v>06-Feb-2026</c:v>
                </c:pt>
                <c:pt idx="19">
                  <c:v>06-Jan-2026</c:v>
                </c:pt>
                <c:pt idx="20">
                  <c:v>06-Mar-2026</c:v>
                </c:pt>
                <c:pt idx="21">
                  <c:v>07-Apr-2026</c:v>
                </c:pt>
                <c:pt idx="22">
                  <c:v>07-Jan-2026</c:v>
                </c:pt>
                <c:pt idx="23">
                  <c:v>07-Jun-2026</c:v>
                </c:pt>
                <c:pt idx="24">
                  <c:v>07-Mar-2026</c:v>
                </c:pt>
                <c:pt idx="25">
                  <c:v>07-May-2026</c:v>
                </c:pt>
                <c:pt idx="26">
                  <c:v>08-Feb-2026</c:v>
                </c:pt>
                <c:pt idx="27">
                  <c:v>08-Jan-2026</c:v>
                </c:pt>
                <c:pt idx="28">
                  <c:v>08-Jun-2026</c:v>
                </c:pt>
                <c:pt idx="29">
                  <c:v>09-Feb-2026</c:v>
                </c:pt>
                <c:pt idx="30">
                  <c:v>09-Jun-2026</c:v>
                </c:pt>
                <c:pt idx="31">
                  <c:v>09-Mar-2026</c:v>
                </c:pt>
                <c:pt idx="32">
                  <c:v>10-Feb-2026</c:v>
                </c:pt>
                <c:pt idx="33">
                  <c:v>10-Jan-2026</c:v>
                </c:pt>
                <c:pt idx="34">
                  <c:v>10-Jun-2026</c:v>
                </c:pt>
                <c:pt idx="35">
                  <c:v>10-Mar-2026</c:v>
                </c:pt>
                <c:pt idx="36">
                  <c:v>11-Feb-2026</c:v>
                </c:pt>
                <c:pt idx="37">
                  <c:v>11-Jun-2026</c:v>
                </c:pt>
                <c:pt idx="38">
                  <c:v>11-Mar-2026</c:v>
                </c:pt>
                <c:pt idx="39">
                  <c:v>11-May-2026</c:v>
                </c:pt>
                <c:pt idx="40">
                  <c:v>12-Apr-2026</c:v>
                </c:pt>
                <c:pt idx="41">
                  <c:v>12-Feb-2026</c:v>
                </c:pt>
                <c:pt idx="42">
                  <c:v>12-Jun-2026</c:v>
                </c:pt>
                <c:pt idx="43">
                  <c:v>12-Mar-2026</c:v>
                </c:pt>
                <c:pt idx="44">
                  <c:v>13-Apr-2026</c:v>
                </c:pt>
                <c:pt idx="45">
                  <c:v>13-Feb-2026</c:v>
                </c:pt>
                <c:pt idx="46">
                  <c:v>13-May-2026</c:v>
                </c:pt>
                <c:pt idx="47">
                  <c:v>14-Feb-2026</c:v>
                </c:pt>
                <c:pt idx="48">
                  <c:v>14-Mar-2026</c:v>
                </c:pt>
                <c:pt idx="49">
                  <c:v>15-Apr-2026</c:v>
                </c:pt>
                <c:pt idx="50">
                  <c:v>15-Feb-2026</c:v>
                </c:pt>
                <c:pt idx="51">
                  <c:v>15-Mar-2026</c:v>
                </c:pt>
                <c:pt idx="52">
                  <c:v>15-May-2026</c:v>
                </c:pt>
                <c:pt idx="53">
                  <c:v>16-Apr-2026</c:v>
                </c:pt>
                <c:pt idx="54">
                  <c:v>16-Feb-2026</c:v>
                </c:pt>
                <c:pt idx="55">
                  <c:v>16-Jun-2026</c:v>
                </c:pt>
                <c:pt idx="56">
                  <c:v>17-Apr-2026</c:v>
                </c:pt>
                <c:pt idx="57">
                  <c:v>17-Feb-2026</c:v>
                </c:pt>
                <c:pt idx="58">
                  <c:v>17-Jan-2026</c:v>
                </c:pt>
                <c:pt idx="59">
                  <c:v>17-Mar-2026</c:v>
                </c:pt>
                <c:pt idx="60">
                  <c:v>18-Feb-2026</c:v>
                </c:pt>
                <c:pt idx="61">
                  <c:v>18-May-2026</c:v>
                </c:pt>
                <c:pt idx="62">
                  <c:v>19-Apr-2026</c:v>
                </c:pt>
                <c:pt idx="63">
                  <c:v>19-Feb-2026</c:v>
                </c:pt>
                <c:pt idx="64">
                  <c:v>19-Jan-2026</c:v>
                </c:pt>
                <c:pt idx="65">
                  <c:v>20-May-2026</c:v>
                </c:pt>
                <c:pt idx="66">
                  <c:v>21-Apr-2026</c:v>
                </c:pt>
                <c:pt idx="67">
                  <c:v>21-Jan-2026</c:v>
                </c:pt>
                <c:pt idx="68">
                  <c:v>21-Mar-2026</c:v>
                </c:pt>
                <c:pt idx="69">
                  <c:v>22-Apr-2026</c:v>
                </c:pt>
                <c:pt idx="70">
                  <c:v>22-Feb-2026</c:v>
                </c:pt>
                <c:pt idx="71">
                  <c:v>22-Jan-2026</c:v>
                </c:pt>
                <c:pt idx="72">
                  <c:v>22-Jun-2026</c:v>
                </c:pt>
                <c:pt idx="73">
                  <c:v>22-Mar-2026</c:v>
                </c:pt>
                <c:pt idx="74">
                  <c:v>22-May-2026</c:v>
                </c:pt>
                <c:pt idx="75">
                  <c:v>23-Apr-2026</c:v>
                </c:pt>
                <c:pt idx="76">
                  <c:v>23-Feb-2026</c:v>
                </c:pt>
                <c:pt idx="77">
                  <c:v>23-Jan-2026</c:v>
                </c:pt>
                <c:pt idx="78">
                  <c:v>23-Jun-2026</c:v>
                </c:pt>
                <c:pt idx="79">
                  <c:v>23-May-2026</c:v>
                </c:pt>
                <c:pt idx="80">
                  <c:v>24-Apr-2026</c:v>
                </c:pt>
                <c:pt idx="81">
                  <c:v>24-Jan-2026</c:v>
                </c:pt>
                <c:pt idx="82">
                  <c:v>24-Jun-2026</c:v>
                </c:pt>
                <c:pt idx="83">
                  <c:v>24-May-2026</c:v>
                </c:pt>
                <c:pt idx="84">
                  <c:v>25-Apr-2026</c:v>
                </c:pt>
                <c:pt idx="85">
                  <c:v>25-Feb-2026</c:v>
                </c:pt>
                <c:pt idx="86">
                  <c:v>25-Jan-2026</c:v>
                </c:pt>
                <c:pt idx="87">
                  <c:v>25-Jun-2026</c:v>
                </c:pt>
                <c:pt idx="88">
                  <c:v>25-Mar-2026</c:v>
                </c:pt>
                <c:pt idx="89">
                  <c:v>26-Apr-2026</c:v>
                </c:pt>
                <c:pt idx="90">
                  <c:v>26-Jan-2026</c:v>
                </c:pt>
                <c:pt idx="91">
                  <c:v>26-May-2026</c:v>
                </c:pt>
                <c:pt idx="92">
                  <c:v>27-Feb-2026</c:v>
                </c:pt>
                <c:pt idx="93">
                  <c:v>27-Jun-2026</c:v>
                </c:pt>
                <c:pt idx="94">
                  <c:v>27-Mar-2026</c:v>
                </c:pt>
                <c:pt idx="95">
                  <c:v>27-May-2026</c:v>
                </c:pt>
                <c:pt idx="96">
                  <c:v>28-Apr-2026</c:v>
                </c:pt>
                <c:pt idx="97">
                  <c:v>28-Jan-2026</c:v>
                </c:pt>
                <c:pt idx="98">
                  <c:v>28-Jun-2026</c:v>
                </c:pt>
                <c:pt idx="99">
                  <c:v>28-Mar-2026</c:v>
                </c:pt>
                <c:pt idx="100">
                  <c:v>28-May-2026</c:v>
                </c:pt>
                <c:pt idx="101">
                  <c:v>29-Apr-2026</c:v>
                </c:pt>
                <c:pt idx="102">
                  <c:v>29-Jan-2026</c:v>
                </c:pt>
                <c:pt idx="103">
                  <c:v>29-Jun-2026</c:v>
                </c:pt>
                <c:pt idx="104">
                  <c:v>29-May-2026</c:v>
                </c:pt>
                <c:pt idx="105">
                  <c:v>30-Apr-2026</c:v>
                </c:pt>
                <c:pt idx="106">
                  <c:v>30-Jun-2026</c:v>
                </c:pt>
                <c:pt idx="107">
                  <c:v>30-May-2026</c:v>
                </c:pt>
                <c:pt idx="108">
                  <c:v>31-Jan-2026</c:v>
                </c:pt>
                <c:pt idx="109">
                  <c:v>31-Mar-2026</c:v>
                </c:pt>
                <c:pt idx="110">
                  <c:v>31-May-2026</c:v>
                </c:pt>
              </c:strCache>
            </c:strRef>
          </c:cat>
          <c:val>
            <c:numRef>
              <c:f>Sheet1!$B$19:$B$130</c:f>
              <c:numCache>
                <c:formatCode>General</c:formatCode>
                <c:ptCount val="111"/>
                <c:pt idx="0">
                  <c:v>11875</c:v>
                </c:pt>
                <c:pt idx="1">
                  <c:v>26000</c:v>
                </c:pt>
                <c:pt idx="2">
                  <c:v>5850</c:v>
                </c:pt>
                <c:pt idx="3">
                  <c:v>20050</c:v>
                </c:pt>
                <c:pt idx="4">
                  <c:v>24700</c:v>
                </c:pt>
                <c:pt idx="5">
                  <c:v>12160</c:v>
                </c:pt>
                <c:pt idx="6">
                  <c:v>9727.5</c:v>
                </c:pt>
                <c:pt idx="7">
                  <c:v>5525</c:v>
                </c:pt>
                <c:pt idx="8">
                  <c:v>22100</c:v>
                </c:pt>
                <c:pt idx="9">
                  <c:v>1215</c:v>
                </c:pt>
                <c:pt idx="10">
                  <c:v>10625</c:v>
                </c:pt>
                <c:pt idx="11">
                  <c:v>12915</c:v>
                </c:pt>
                <c:pt idx="12">
                  <c:v>8655</c:v>
                </c:pt>
                <c:pt idx="13">
                  <c:v>6500</c:v>
                </c:pt>
                <c:pt idx="14">
                  <c:v>15640</c:v>
                </c:pt>
                <c:pt idx="15">
                  <c:v>5850</c:v>
                </c:pt>
                <c:pt idx="16">
                  <c:v>12195</c:v>
                </c:pt>
                <c:pt idx="17">
                  <c:v>7980</c:v>
                </c:pt>
                <c:pt idx="18">
                  <c:v>4250</c:v>
                </c:pt>
                <c:pt idx="19">
                  <c:v>22100</c:v>
                </c:pt>
                <c:pt idx="20">
                  <c:v>7500</c:v>
                </c:pt>
                <c:pt idx="21">
                  <c:v>4177.5</c:v>
                </c:pt>
                <c:pt idx="22">
                  <c:v>2947.5</c:v>
                </c:pt>
                <c:pt idx="23">
                  <c:v>57440</c:v>
                </c:pt>
                <c:pt idx="24">
                  <c:v>6650</c:v>
                </c:pt>
                <c:pt idx="25">
                  <c:v>25575</c:v>
                </c:pt>
                <c:pt idx="26">
                  <c:v>8400</c:v>
                </c:pt>
                <c:pt idx="27">
                  <c:v>11430</c:v>
                </c:pt>
                <c:pt idx="28">
                  <c:v>4560</c:v>
                </c:pt>
                <c:pt idx="29">
                  <c:v>9000</c:v>
                </c:pt>
                <c:pt idx="30">
                  <c:v>27135</c:v>
                </c:pt>
                <c:pt idx="31">
                  <c:v>10500</c:v>
                </c:pt>
                <c:pt idx="32">
                  <c:v>11650</c:v>
                </c:pt>
                <c:pt idx="33">
                  <c:v>7507.5</c:v>
                </c:pt>
                <c:pt idx="34">
                  <c:v>8500</c:v>
                </c:pt>
                <c:pt idx="35">
                  <c:v>1282.5</c:v>
                </c:pt>
                <c:pt idx="36">
                  <c:v>1710</c:v>
                </c:pt>
                <c:pt idx="37">
                  <c:v>13050</c:v>
                </c:pt>
                <c:pt idx="38">
                  <c:v>20097.5</c:v>
                </c:pt>
                <c:pt idx="39">
                  <c:v>2250</c:v>
                </c:pt>
                <c:pt idx="40">
                  <c:v>9450</c:v>
                </c:pt>
                <c:pt idx="41">
                  <c:v>5400</c:v>
                </c:pt>
                <c:pt idx="42">
                  <c:v>6725</c:v>
                </c:pt>
                <c:pt idx="43">
                  <c:v>27720</c:v>
                </c:pt>
                <c:pt idx="44">
                  <c:v>20350</c:v>
                </c:pt>
                <c:pt idx="45">
                  <c:v>14750</c:v>
                </c:pt>
                <c:pt idx="46">
                  <c:v>855</c:v>
                </c:pt>
                <c:pt idx="47">
                  <c:v>45950</c:v>
                </c:pt>
                <c:pt idx="48">
                  <c:v>5100</c:v>
                </c:pt>
                <c:pt idx="49">
                  <c:v>3060</c:v>
                </c:pt>
                <c:pt idx="50">
                  <c:v>2137.5</c:v>
                </c:pt>
                <c:pt idx="51">
                  <c:v>14200</c:v>
                </c:pt>
                <c:pt idx="52">
                  <c:v>7125</c:v>
                </c:pt>
                <c:pt idx="53">
                  <c:v>8520</c:v>
                </c:pt>
                <c:pt idx="54">
                  <c:v>2025</c:v>
                </c:pt>
                <c:pt idx="55">
                  <c:v>5525</c:v>
                </c:pt>
                <c:pt idx="56">
                  <c:v>17550</c:v>
                </c:pt>
                <c:pt idx="57">
                  <c:v>4540</c:v>
                </c:pt>
                <c:pt idx="58">
                  <c:v>7130</c:v>
                </c:pt>
                <c:pt idx="59">
                  <c:v>20305</c:v>
                </c:pt>
                <c:pt idx="60">
                  <c:v>10800</c:v>
                </c:pt>
                <c:pt idx="61">
                  <c:v>10625</c:v>
                </c:pt>
                <c:pt idx="62">
                  <c:v>1020</c:v>
                </c:pt>
                <c:pt idx="63">
                  <c:v>13160</c:v>
                </c:pt>
                <c:pt idx="64">
                  <c:v>5600</c:v>
                </c:pt>
                <c:pt idx="65">
                  <c:v>3600</c:v>
                </c:pt>
                <c:pt idx="66">
                  <c:v>16375</c:v>
                </c:pt>
                <c:pt idx="67">
                  <c:v>15480</c:v>
                </c:pt>
                <c:pt idx="68">
                  <c:v>15895</c:v>
                </c:pt>
                <c:pt idx="69">
                  <c:v>24700</c:v>
                </c:pt>
                <c:pt idx="70">
                  <c:v>2025</c:v>
                </c:pt>
                <c:pt idx="71">
                  <c:v>1800</c:v>
                </c:pt>
                <c:pt idx="72">
                  <c:v>18400</c:v>
                </c:pt>
                <c:pt idx="73">
                  <c:v>30780</c:v>
                </c:pt>
                <c:pt idx="74">
                  <c:v>31927.5</c:v>
                </c:pt>
                <c:pt idx="75">
                  <c:v>35675</c:v>
                </c:pt>
                <c:pt idx="76">
                  <c:v>24700</c:v>
                </c:pt>
                <c:pt idx="77">
                  <c:v>17370</c:v>
                </c:pt>
                <c:pt idx="78">
                  <c:v>12500</c:v>
                </c:pt>
                <c:pt idx="79">
                  <c:v>11250</c:v>
                </c:pt>
                <c:pt idx="80">
                  <c:v>9500</c:v>
                </c:pt>
                <c:pt idx="81">
                  <c:v>2730</c:v>
                </c:pt>
                <c:pt idx="82">
                  <c:v>1912.5</c:v>
                </c:pt>
                <c:pt idx="83">
                  <c:v>10500</c:v>
                </c:pt>
                <c:pt idx="84">
                  <c:v>24500</c:v>
                </c:pt>
                <c:pt idx="85">
                  <c:v>9390</c:v>
                </c:pt>
                <c:pt idx="86">
                  <c:v>23265</c:v>
                </c:pt>
                <c:pt idx="87">
                  <c:v>6650</c:v>
                </c:pt>
                <c:pt idx="88">
                  <c:v>4560</c:v>
                </c:pt>
                <c:pt idx="89">
                  <c:v>11050</c:v>
                </c:pt>
                <c:pt idx="90">
                  <c:v>4095</c:v>
                </c:pt>
                <c:pt idx="91">
                  <c:v>6000</c:v>
                </c:pt>
                <c:pt idx="92">
                  <c:v>2125</c:v>
                </c:pt>
                <c:pt idx="93">
                  <c:v>23400</c:v>
                </c:pt>
                <c:pt idx="94">
                  <c:v>10690</c:v>
                </c:pt>
                <c:pt idx="95">
                  <c:v>7980</c:v>
                </c:pt>
                <c:pt idx="96">
                  <c:v>10850</c:v>
                </c:pt>
                <c:pt idx="97">
                  <c:v>17500</c:v>
                </c:pt>
                <c:pt idx="98">
                  <c:v>8707.5</c:v>
                </c:pt>
                <c:pt idx="99">
                  <c:v>11657.5</c:v>
                </c:pt>
                <c:pt idx="100">
                  <c:v>4800</c:v>
                </c:pt>
                <c:pt idx="101">
                  <c:v>3850</c:v>
                </c:pt>
                <c:pt idx="102">
                  <c:v>16625</c:v>
                </c:pt>
                <c:pt idx="103">
                  <c:v>11300</c:v>
                </c:pt>
                <c:pt idx="104">
                  <c:v>29250</c:v>
                </c:pt>
                <c:pt idx="105">
                  <c:v>10500</c:v>
                </c:pt>
                <c:pt idx="106">
                  <c:v>12600</c:v>
                </c:pt>
                <c:pt idx="107">
                  <c:v>7000</c:v>
                </c:pt>
                <c:pt idx="108">
                  <c:v>11200</c:v>
                </c:pt>
                <c:pt idx="109">
                  <c:v>382.5</c:v>
                </c:pt>
                <c:pt idx="110">
                  <c:v>10587.5</c:v>
                </c:pt>
              </c:numCache>
            </c:numRef>
          </c:val>
          <c:smooth val="0"/>
          <c:extLst>
            <c:ext xmlns:c16="http://schemas.microsoft.com/office/drawing/2014/chart" uri="{C3380CC4-5D6E-409C-BE32-E72D297353CC}">
              <c16:uniqueId val="{00000000-3C59-4820-A5CF-C75037F984B5}"/>
            </c:ext>
          </c:extLst>
        </c:ser>
        <c:dLbls>
          <c:showLegendKey val="0"/>
          <c:showVal val="0"/>
          <c:showCatName val="0"/>
          <c:showSerName val="0"/>
          <c:showPercent val="0"/>
          <c:showBubbleSize val="0"/>
        </c:dLbls>
        <c:smooth val="0"/>
        <c:axId val="433884528"/>
        <c:axId val="428138880"/>
      </c:lineChart>
      <c:catAx>
        <c:axId val="433884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38880"/>
        <c:crosses val="autoZero"/>
        <c:auto val="1"/>
        <c:lblAlgn val="ctr"/>
        <c:lblOffset val="100"/>
        <c:noMultiLvlLbl val="0"/>
      </c:catAx>
      <c:valAx>
        <c:axId val="4281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8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Copy.xlsx]Sheet1!PivotTable4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Sheet1!$A$2:$A$7</c:f>
              <c:strCache>
                <c:ptCount val="5"/>
                <c:pt idx="0">
                  <c:v>Central</c:v>
                </c:pt>
                <c:pt idx="1">
                  <c:v>East</c:v>
                </c:pt>
                <c:pt idx="2">
                  <c:v>North</c:v>
                </c:pt>
                <c:pt idx="3">
                  <c:v>South</c:v>
                </c:pt>
                <c:pt idx="4">
                  <c:v>West</c:v>
                </c:pt>
              </c:strCache>
            </c:strRef>
          </c:cat>
          <c:val>
            <c:numRef>
              <c:f>Sheet1!$B$2:$B$7</c:f>
              <c:numCache>
                <c:formatCode>0.00,"M"</c:formatCode>
                <c:ptCount val="5"/>
                <c:pt idx="0">
                  <c:v>335735</c:v>
                </c:pt>
                <c:pt idx="1">
                  <c:v>296937.5</c:v>
                </c:pt>
                <c:pt idx="2">
                  <c:v>253590</c:v>
                </c:pt>
                <c:pt idx="3">
                  <c:v>261825</c:v>
                </c:pt>
                <c:pt idx="4">
                  <c:v>286870</c:v>
                </c:pt>
              </c:numCache>
            </c:numRef>
          </c:val>
          <c:extLst>
            <c:ext xmlns:c16="http://schemas.microsoft.com/office/drawing/2014/chart" uri="{C3380CC4-5D6E-409C-BE32-E72D297353CC}">
              <c16:uniqueId val="{00000000-11A1-4695-8C61-966B44ADE43C}"/>
            </c:ext>
          </c:extLst>
        </c:ser>
        <c:dLbls>
          <c:showLegendKey val="0"/>
          <c:showVal val="0"/>
          <c:showCatName val="0"/>
          <c:showSerName val="0"/>
          <c:showPercent val="0"/>
          <c:showBubbleSize val="0"/>
        </c:dLbls>
        <c:gapWidth val="219"/>
        <c:overlap val="-27"/>
        <c:axId val="736778656"/>
        <c:axId val="736781608"/>
      </c:barChart>
      <c:catAx>
        <c:axId val="73677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781608"/>
        <c:crosses val="autoZero"/>
        <c:auto val="1"/>
        <c:lblAlgn val="ctr"/>
        <c:lblOffset val="100"/>
        <c:noMultiLvlLbl val="0"/>
      </c:catAx>
      <c:valAx>
        <c:axId val="73678160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77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Copy.xlsx]Sheet1!PivotTable5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46684428503773"/>
          <c:y val="0.15319444444444447"/>
          <c:w val="0.45441676488036942"/>
          <c:h val="0.72088764946048411"/>
        </c:manualLayout>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Sheet1!$A$12:$A$13</c:f>
              <c:strCache>
                <c:ptCount val="1"/>
                <c:pt idx="0">
                  <c:v>Fashion</c:v>
                </c:pt>
              </c:strCache>
            </c:strRef>
          </c:cat>
          <c:val>
            <c:numRef>
              <c:f>Sheet1!$B$12:$B$13</c:f>
              <c:numCache>
                <c:formatCode>0.00,"M"</c:formatCode>
                <c:ptCount val="1"/>
                <c:pt idx="0">
                  <c:v>353690</c:v>
                </c:pt>
              </c:numCache>
            </c:numRef>
          </c:val>
          <c:extLst>
            <c:ext xmlns:c16="http://schemas.microsoft.com/office/drawing/2014/chart" uri="{C3380CC4-5D6E-409C-BE32-E72D297353CC}">
              <c16:uniqueId val="{00000000-56F9-4118-97C0-B44DAC7E3967}"/>
            </c:ext>
          </c:extLst>
        </c:ser>
        <c:dLbls>
          <c:dLblPos val="outEnd"/>
          <c:showLegendKey val="0"/>
          <c:showVal val="1"/>
          <c:showCatName val="0"/>
          <c:showSerName val="0"/>
          <c:showPercent val="0"/>
          <c:showBubbleSize val="0"/>
        </c:dLbls>
        <c:gapWidth val="182"/>
        <c:axId val="809987408"/>
        <c:axId val="809987736"/>
      </c:barChart>
      <c:catAx>
        <c:axId val="80998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87736"/>
        <c:crosses val="autoZero"/>
        <c:auto val="1"/>
        <c:lblAlgn val="ctr"/>
        <c:lblOffset val="100"/>
        <c:noMultiLvlLbl val="0"/>
      </c:catAx>
      <c:valAx>
        <c:axId val="809987736"/>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8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Copy.xlsx]Sheet2!PivotTable17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Sheet2!$G$4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84-414F-8D31-584C42DC07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84-414F-8D31-584C42DC07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84-414F-8D31-584C42DC07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84-414F-8D31-584C42DC07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84-414F-8D31-584C42DC07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84-414F-8D31-584C42DC07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Sheet2!$F$5:$F$11</c:f>
              <c:strCache>
                <c:ptCount val="6"/>
                <c:pt idx="0">
                  <c:v>Accessories</c:v>
                </c:pt>
                <c:pt idx="1">
                  <c:v>Men</c:v>
                </c:pt>
                <c:pt idx="2">
                  <c:v>Sports</c:v>
                </c:pt>
                <c:pt idx="3">
                  <c:v>Staples</c:v>
                </c:pt>
                <c:pt idx="4">
                  <c:v>Wearables</c:v>
                </c:pt>
                <c:pt idx="5">
                  <c:v>Women</c:v>
                </c:pt>
              </c:strCache>
            </c:strRef>
          </c:cat>
          <c:val>
            <c:numRef>
              <c:f>Sheet2!$G$5:$G$11</c:f>
              <c:numCache>
                <c:formatCode>General</c:formatCode>
                <c:ptCount val="6"/>
                <c:pt idx="0">
                  <c:v>251825</c:v>
                </c:pt>
                <c:pt idx="1">
                  <c:v>109440</c:v>
                </c:pt>
                <c:pt idx="2">
                  <c:v>251860</c:v>
                </c:pt>
                <c:pt idx="3">
                  <c:v>55957.5</c:v>
                </c:pt>
                <c:pt idx="4">
                  <c:v>521625</c:v>
                </c:pt>
                <c:pt idx="5">
                  <c:v>244250</c:v>
                </c:pt>
              </c:numCache>
            </c:numRef>
          </c:val>
          <c:extLst>
            <c:ext xmlns:c16="http://schemas.microsoft.com/office/drawing/2014/chart" uri="{C3380CC4-5D6E-409C-BE32-E72D297353CC}">
              <c16:uniqueId val="{0000000C-B984-414F-8D31-584C42DC07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Copy.xlsx]Sheet2!PivotTable15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Sheet2!$E$19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86-44AE-AC22-5075118B1E8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386-44AE-AC22-5075118B1E86}"/>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386-44AE-AC22-5075118B1E86}"/>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386-44AE-AC22-5075118B1E86}"/>
              </c:ext>
            </c:extLst>
          </c:dPt>
          <c:cat>
            <c:strRef>
              <c:f>Sheet2!$D$20:$D$24</c:f>
              <c:strCache>
                <c:ptCount val="4"/>
                <c:pt idx="0">
                  <c:v>Cash</c:v>
                </c:pt>
                <c:pt idx="1">
                  <c:v>Credit Card</c:v>
                </c:pt>
                <c:pt idx="2">
                  <c:v>Debit Card</c:v>
                </c:pt>
                <c:pt idx="3">
                  <c:v>UPI</c:v>
                </c:pt>
              </c:strCache>
            </c:strRef>
          </c:cat>
          <c:val>
            <c:numRef>
              <c:f>Sheet2!$E$20:$E$24</c:f>
              <c:numCache>
                <c:formatCode>General</c:formatCode>
                <c:ptCount val="4"/>
                <c:pt idx="0">
                  <c:v>63</c:v>
                </c:pt>
                <c:pt idx="1">
                  <c:v>35</c:v>
                </c:pt>
                <c:pt idx="2">
                  <c:v>51</c:v>
                </c:pt>
                <c:pt idx="3">
                  <c:v>51</c:v>
                </c:pt>
              </c:numCache>
            </c:numRef>
          </c:val>
          <c:extLst>
            <c:ext xmlns:c16="http://schemas.microsoft.com/office/drawing/2014/chart" uri="{C3380CC4-5D6E-409C-BE32-E72D297353CC}">
              <c16:uniqueId val="{00000008-F386-44AE-AC22-5075118B1E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[Mall_Sales_200_Records_Region_SubCategory_Country - Copy.xlsx]Sheet2!PivotTable13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Net Sales</c:v>
                </c:pt>
              </c:strCache>
            </c:strRef>
          </c:tx>
          <c:spPr>
            <a:solidFill>
              <a:schemeClr val="accent1"/>
            </a:solidFill>
            <a:ln>
              <a:noFill/>
            </a:ln>
            <a:effectLst/>
          </c:spPr>
          <c:invertIfNegative val="0"/>
          <c:cat>
            <c:multiLvlStrRef>
              <c:f>Sheet2!$A$4:$A$15</c:f>
              <c:multiLvlStrCache>
                <c:ptCount val="5"/>
                <c:lvl>
                  <c:pt idx="0">
                    <c:v>New Delhi</c:v>
                  </c:pt>
                  <c:pt idx="1">
                    <c:v>Bengaluru</c:v>
                  </c:pt>
                  <c:pt idx="2">
                    <c:v>Bhopal</c:v>
                  </c:pt>
                  <c:pt idx="3">
                    <c:v>Mumbai</c:v>
                  </c:pt>
                  <c:pt idx="4">
                    <c:v>Kolkata</c:v>
                  </c:pt>
                </c:lvl>
                <c:lvl>
                  <c:pt idx="0">
                    <c:v>Delhi</c:v>
                  </c:pt>
                  <c:pt idx="1">
                    <c:v>Karnataka</c:v>
                  </c:pt>
                  <c:pt idx="2">
                    <c:v>Madhya Pradesh</c:v>
                  </c:pt>
                  <c:pt idx="3">
                    <c:v>Maharashtra</c:v>
                  </c:pt>
                  <c:pt idx="4">
                    <c:v>West Bengal</c:v>
                  </c:pt>
                </c:lvl>
                <c:lvl>
                  <c:pt idx="0">
                    <c:v>India</c:v>
                  </c:pt>
                </c:lvl>
              </c:multiLvlStrCache>
            </c:multiLvlStrRef>
          </c:cat>
          <c:val>
            <c:numRef>
              <c:f>Sheet2!$B$4:$B$15</c:f>
              <c:numCache>
                <c:formatCode>0.00,"M"</c:formatCode>
                <c:ptCount val="5"/>
                <c:pt idx="0">
                  <c:v>253590</c:v>
                </c:pt>
                <c:pt idx="1">
                  <c:v>261825</c:v>
                </c:pt>
                <c:pt idx="2">
                  <c:v>335735</c:v>
                </c:pt>
                <c:pt idx="3">
                  <c:v>286870</c:v>
                </c:pt>
                <c:pt idx="4">
                  <c:v>296937.5</c:v>
                </c:pt>
              </c:numCache>
            </c:numRef>
          </c:val>
          <c:extLst>
            <c:ext xmlns:c16="http://schemas.microsoft.com/office/drawing/2014/chart" uri="{C3380CC4-5D6E-409C-BE32-E72D297353CC}">
              <c16:uniqueId val="{00000000-5255-4E44-B1DF-7BB505BC2379}"/>
            </c:ext>
          </c:extLst>
        </c:ser>
        <c:ser>
          <c:idx val="1"/>
          <c:order val="1"/>
          <c:tx>
            <c:strRef>
              <c:f>Sheet2!$C$3</c:f>
              <c:strCache>
                <c:ptCount val="1"/>
                <c:pt idx="0">
                  <c:v>Sum of Unit Price</c:v>
                </c:pt>
              </c:strCache>
            </c:strRef>
          </c:tx>
          <c:spPr>
            <a:solidFill>
              <a:schemeClr val="accent2"/>
            </a:solidFill>
            <a:ln>
              <a:noFill/>
            </a:ln>
            <a:effectLst/>
          </c:spPr>
          <c:invertIfNegative val="0"/>
          <c:cat>
            <c:multiLvlStrRef>
              <c:f>Sheet2!$A$4:$A$15</c:f>
              <c:multiLvlStrCache>
                <c:ptCount val="5"/>
                <c:lvl>
                  <c:pt idx="0">
                    <c:v>New Delhi</c:v>
                  </c:pt>
                  <c:pt idx="1">
                    <c:v>Bengaluru</c:v>
                  </c:pt>
                  <c:pt idx="2">
                    <c:v>Bhopal</c:v>
                  </c:pt>
                  <c:pt idx="3">
                    <c:v>Mumbai</c:v>
                  </c:pt>
                  <c:pt idx="4">
                    <c:v>Kolkata</c:v>
                  </c:pt>
                </c:lvl>
                <c:lvl>
                  <c:pt idx="0">
                    <c:v>Delhi</c:v>
                  </c:pt>
                  <c:pt idx="1">
                    <c:v>Karnataka</c:v>
                  </c:pt>
                  <c:pt idx="2">
                    <c:v>Madhya Pradesh</c:v>
                  </c:pt>
                  <c:pt idx="3">
                    <c:v>Maharashtra</c:v>
                  </c:pt>
                  <c:pt idx="4">
                    <c:v>West Bengal</c:v>
                  </c:pt>
                </c:lvl>
                <c:lvl>
                  <c:pt idx="0">
                    <c:v>India</c:v>
                  </c:pt>
                </c:lvl>
              </c:multiLvlStrCache>
            </c:multiLvlStrRef>
          </c:cat>
          <c:val>
            <c:numRef>
              <c:f>Sheet2!$C$4:$C$15</c:f>
              <c:numCache>
                <c:formatCode>0.00,"M"</c:formatCode>
                <c:ptCount val="5"/>
                <c:pt idx="0">
                  <c:v>88300</c:v>
                </c:pt>
                <c:pt idx="1">
                  <c:v>114000</c:v>
                </c:pt>
                <c:pt idx="2">
                  <c:v>123950</c:v>
                </c:pt>
                <c:pt idx="3">
                  <c:v>109400</c:v>
                </c:pt>
                <c:pt idx="4">
                  <c:v>101550</c:v>
                </c:pt>
              </c:numCache>
            </c:numRef>
          </c:val>
          <c:extLst>
            <c:ext xmlns:c16="http://schemas.microsoft.com/office/drawing/2014/chart" uri="{C3380CC4-5D6E-409C-BE32-E72D297353CC}">
              <c16:uniqueId val="{00000001-5255-4E44-B1DF-7BB505BC2379}"/>
            </c:ext>
          </c:extLst>
        </c:ser>
        <c:ser>
          <c:idx val="2"/>
          <c:order val="2"/>
          <c:tx>
            <c:strRef>
              <c:f>Sheet2!$D$3</c:f>
              <c:strCache>
                <c:ptCount val="1"/>
                <c:pt idx="0">
                  <c:v>Sum of Discount %</c:v>
                </c:pt>
              </c:strCache>
            </c:strRef>
          </c:tx>
          <c:spPr>
            <a:solidFill>
              <a:schemeClr val="accent3"/>
            </a:solidFill>
            <a:ln>
              <a:noFill/>
            </a:ln>
            <a:effectLst/>
          </c:spPr>
          <c:invertIfNegative val="0"/>
          <c:cat>
            <c:multiLvlStrRef>
              <c:f>Sheet2!$A$4:$A$15</c:f>
              <c:multiLvlStrCache>
                <c:ptCount val="5"/>
                <c:lvl>
                  <c:pt idx="0">
                    <c:v>New Delhi</c:v>
                  </c:pt>
                  <c:pt idx="1">
                    <c:v>Bengaluru</c:v>
                  </c:pt>
                  <c:pt idx="2">
                    <c:v>Bhopal</c:v>
                  </c:pt>
                  <c:pt idx="3">
                    <c:v>Mumbai</c:v>
                  </c:pt>
                  <c:pt idx="4">
                    <c:v>Kolkata</c:v>
                  </c:pt>
                </c:lvl>
                <c:lvl>
                  <c:pt idx="0">
                    <c:v>Delhi</c:v>
                  </c:pt>
                  <c:pt idx="1">
                    <c:v>Karnataka</c:v>
                  </c:pt>
                  <c:pt idx="2">
                    <c:v>Madhya Pradesh</c:v>
                  </c:pt>
                  <c:pt idx="3">
                    <c:v>Maharashtra</c:v>
                  </c:pt>
                  <c:pt idx="4">
                    <c:v>West Bengal</c:v>
                  </c:pt>
                </c:lvl>
                <c:lvl>
                  <c:pt idx="0">
                    <c:v>India</c:v>
                  </c:pt>
                </c:lvl>
              </c:multiLvlStrCache>
            </c:multiLvlStrRef>
          </c:cat>
          <c:val>
            <c:numRef>
              <c:f>Sheet2!$D$4:$D$15</c:f>
              <c:numCache>
                <c:formatCode>0.00,"M"</c:formatCode>
                <c:ptCount val="5"/>
                <c:pt idx="0">
                  <c:v>280</c:v>
                </c:pt>
                <c:pt idx="1">
                  <c:v>325</c:v>
                </c:pt>
                <c:pt idx="2">
                  <c:v>280</c:v>
                </c:pt>
                <c:pt idx="3">
                  <c:v>370</c:v>
                </c:pt>
                <c:pt idx="4">
                  <c:v>375</c:v>
                </c:pt>
              </c:numCache>
            </c:numRef>
          </c:val>
          <c:extLst>
            <c:ext xmlns:c16="http://schemas.microsoft.com/office/drawing/2014/chart" uri="{C3380CC4-5D6E-409C-BE32-E72D297353CC}">
              <c16:uniqueId val="{00000002-5255-4E44-B1DF-7BB505BC2379}"/>
            </c:ext>
          </c:extLst>
        </c:ser>
        <c:dLbls>
          <c:showLegendKey val="0"/>
          <c:showVal val="0"/>
          <c:showCatName val="0"/>
          <c:showSerName val="0"/>
          <c:showPercent val="0"/>
          <c:showBubbleSize val="0"/>
        </c:dLbls>
        <c:gapWidth val="219"/>
        <c:overlap val="-27"/>
        <c:axId val="740085056"/>
        <c:axId val="740081448"/>
      </c:barChart>
      <c:catAx>
        <c:axId val="7400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081448"/>
        <c:crosses val="autoZero"/>
        <c:auto val="1"/>
        <c:lblAlgn val="ctr"/>
        <c:lblOffset val="100"/>
        <c:noMultiLvlLbl val="0"/>
      </c:catAx>
      <c:valAx>
        <c:axId val="74008144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08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121920</xdr:colOff>
      <xdr:row>1</xdr:row>
      <xdr:rowOff>60960</xdr:rowOff>
    </xdr:from>
    <xdr:to>
      <xdr:col>8</xdr:col>
      <xdr:colOff>53340</xdr:colOff>
      <xdr:row>5</xdr:row>
      <xdr:rowOff>15240</xdr:rowOff>
    </xdr:to>
    <xdr:sp macro="" textlink="">
      <xdr:nvSpPr>
        <xdr:cNvPr id="2" name="Rounded Rectangle 1">
          <a:extLst>
            <a:ext uri="{FF2B5EF4-FFF2-40B4-BE49-F238E27FC236}">
              <a16:creationId xmlns:a16="http://schemas.microsoft.com/office/drawing/2014/main" id="{00000000-0008-0000-0100-000002000000}"/>
            </a:ext>
          </a:extLst>
        </xdr:cNvPr>
        <xdr:cNvSpPr/>
      </xdr:nvSpPr>
      <xdr:spPr>
        <a:xfrm>
          <a:off x="5471160" y="243840"/>
          <a:ext cx="1150620" cy="6858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a:t>Sum of sales</a:t>
          </a:r>
        </a:p>
        <a:p>
          <a:pPr algn="ctr"/>
          <a:endParaRPr lang="en-IN" sz="1100"/>
        </a:p>
        <a:p>
          <a:pPr algn="ctr"/>
          <a:r>
            <a:rPr lang="en-IN" sz="1100"/>
            <a:t>1434.96M</a:t>
          </a:r>
        </a:p>
      </xdr:txBody>
    </xdr:sp>
    <xdr:clientData/>
  </xdr:twoCellAnchor>
  <xdr:twoCellAnchor>
    <xdr:from>
      <xdr:col>3</xdr:col>
      <xdr:colOff>937260</xdr:colOff>
      <xdr:row>19</xdr:row>
      <xdr:rowOff>118110</xdr:rowOff>
    </xdr:from>
    <xdr:to>
      <xdr:col>11</xdr:col>
      <xdr:colOff>91440</xdr:colOff>
      <xdr:row>34</xdr:row>
      <xdr:rowOff>118110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5</xdr:row>
      <xdr:rowOff>80010</xdr:rowOff>
    </xdr:from>
    <xdr:to>
      <xdr:col>11</xdr:col>
      <xdr:colOff>594360</xdr:colOff>
      <xdr:row>20</xdr:row>
      <xdr:rowOff>80010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320040</xdr:colOff>
      <xdr:row>1</xdr:row>
      <xdr:rowOff>163830</xdr:rowOff>
    </xdr:from>
    <xdr:to>
      <xdr:col>19</xdr:col>
      <xdr:colOff>15240</xdr:colOff>
      <xdr:row>16</xdr:row>
      <xdr:rowOff>163830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548640</xdr:colOff>
      <xdr:row>7</xdr:row>
      <xdr:rowOff>167640</xdr:rowOff>
    </xdr:from>
    <xdr:to>
      <xdr:col>8</xdr:col>
      <xdr:colOff>548640</xdr:colOff>
      <xdr:row>21</xdr:row>
      <xdr:rowOff>74295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8828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548640</xdr:colOff>
      <xdr:row>7</xdr:row>
      <xdr:rowOff>167640</xdr:rowOff>
    </xdr:from>
    <xdr:to>
      <xdr:col>8</xdr:col>
      <xdr:colOff>548640</xdr:colOff>
      <xdr:row>21</xdr:row>
      <xdr:rowOff>74295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8828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548640</xdr:colOff>
      <xdr:row>7</xdr:row>
      <xdr:rowOff>167640</xdr:rowOff>
    </xdr:from>
    <xdr:to>
      <xdr:col>8</xdr:col>
      <xdr:colOff>548640</xdr:colOff>
      <xdr:row>21</xdr:row>
      <xdr:rowOff>74295</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28828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563880</xdr:colOff>
      <xdr:row>0</xdr:row>
      <xdr:rowOff>0</xdr:rowOff>
    </xdr:from>
    <xdr:to>
      <xdr:col>19</xdr:col>
      <xdr:colOff>259080</xdr:colOff>
      <xdr:row>15</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563880</xdr:colOff>
      <xdr:row>14</xdr:row>
      <xdr:rowOff>41910</xdr:rowOff>
    </xdr:from>
    <xdr:to>
      <xdr:col>17</xdr:col>
      <xdr:colOff>259080</xdr:colOff>
      <xdr:row>29</xdr:row>
      <xdr:rowOff>41910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304800</xdr:colOff>
      <xdr:row>13</xdr:row>
      <xdr:rowOff>121920</xdr:rowOff>
    </xdr:from>
    <xdr:to>
      <xdr:col>16</xdr:col>
      <xdr:colOff>419100</xdr:colOff>
      <xdr:row>29</xdr:row>
      <xdr:rowOff>156210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480060</xdr:colOff>
      <xdr:row>0</xdr:row>
      <xdr:rowOff>0</xdr:rowOff>
    </xdr:from>
    <xdr:to>
      <xdr:col>10</xdr:col>
      <xdr:colOff>45720</xdr:colOff>
      <xdr:row>13</xdr:row>
      <xdr:rowOff>89535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8284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0</xdr:row>
      <xdr:rowOff>0</xdr:rowOff>
    </xdr:from>
    <xdr:to>
      <xdr:col>17</xdr:col>
      <xdr:colOff>388620</xdr:colOff>
      <xdr:row>13</xdr:row>
      <xdr:rowOff>89535</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09294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8</xdr:row>
      <xdr:rowOff>91440</xdr:rowOff>
    </xdr:from>
    <xdr:to>
      <xdr:col>16</xdr:col>
      <xdr:colOff>182880</xdr:colOff>
      <xdr:row>21</xdr:row>
      <xdr:rowOff>180975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277600" y="1554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137160</xdr:colOff>
      <xdr:row>13</xdr:row>
      <xdr:rowOff>68580</xdr:rowOff>
    </xdr:from>
    <xdr:to>
      <xdr:col>18</xdr:col>
      <xdr:colOff>137160</xdr:colOff>
      <xdr:row>26</xdr:row>
      <xdr:rowOff>158115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451080" y="2446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99060</xdr:colOff>
      <xdr:row>5</xdr:row>
      <xdr:rowOff>22860</xdr:rowOff>
    </xdr:from>
    <xdr:to>
      <xdr:col>17</xdr:col>
      <xdr:colOff>99060</xdr:colOff>
      <xdr:row>18</xdr:row>
      <xdr:rowOff>112395</xdr:rowOff>
    </xdr:to>
    <mc:AlternateContent xmlns:mc="http://schemas.openxmlformats.org/markup-compatibility/2006" xmlns:a14="http://schemas.microsoft.com/office/drawing/2010/main">
      <mc:Choice Requires="a14">
        <xdr:graphicFrame macro="">
          <xdr:nvGraphicFramePr>
            <xdr:cNvPr id="9" name="Sub Category">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11803380" y="937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137160</xdr:colOff>
      <xdr:row>6</xdr:row>
      <xdr:rowOff>0</xdr:rowOff>
    </xdr:from>
    <xdr:to>
      <xdr:col>15</xdr:col>
      <xdr:colOff>137160</xdr:colOff>
      <xdr:row>19</xdr:row>
      <xdr:rowOff>89535</xdr:rowOff>
    </xdr:to>
    <mc:AlternateContent xmlns:mc="http://schemas.openxmlformats.org/markup-compatibility/2006" xmlns:a14="http://schemas.microsoft.com/office/drawing/2010/main">
      <mc:Choice Requires="a14">
        <xdr:graphicFrame macro="">
          <xdr:nvGraphicFramePr>
            <xdr:cNvPr id="10" name="Payment">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062228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72957</xdr:colOff>
      <xdr:row>1</xdr:row>
      <xdr:rowOff>91440</xdr:rowOff>
    </xdr:from>
    <xdr:to>
      <xdr:col>3</xdr:col>
      <xdr:colOff>72957</xdr:colOff>
      <xdr:row>5</xdr:row>
      <xdr:rowOff>56744</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680936" y="415695"/>
          <a:ext cx="1215957" cy="711092"/>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a:t>Sum of sales</a:t>
          </a:r>
        </a:p>
        <a:p>
          <a:pPr algn="ctr"/>
          <a:endParaRPr lang="en-IN" sz="1100"/>
        </a:p>
        <a:p>
          <a:pPr algn="ctr"/>
          <a:r>
            <a:rPr lang="en-IN" sz="1100"/>
            <a:t>1434.96M</a:t>
          </a:r>
        </a:p>
      </xdr:txBody>
    </xdr:sp>
    <xdr:clientData/>
  </xdr:twoCellAnchor>
  <xdr:twoCellAnchor>
    <xdr:from>
      <xdr:col>4</xdr:col>
      <xdr:colOff>548841</xdr:colOff>
      <xdr:row>1</xdr:row>
      <xdr:rowOff>87679</xdr:rowOff>
    </xdr:from>
    <xdr:to>
      <xdr:col>5</xdr:col>
      <xdr:colOff>1166061</xdr:colOff>
      <xdr:row>5</xdr:row>
      <xdr:rowOff>40745</xdr:rowOff>
    </xdr:to>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2978406" y="418983"/>
          <a:ext cx="1224612" cy="704023"/>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a:t>Total Orders</a:t>
          </a:r>
        </a:p>
        <a:p>
          <a:pPr algn="ctr"/>
          <a:endParaRPr lang="en-IN" sz="1100"/>
        </a:p>
        <a:p>
          <a:pPr algn="ctr"/>
          <a:r>
            <a:rPr lang="en-IN" sz="1100"/>
            <a:t>200</a:t>
          </a:r>
        </a:p>
      </xdr:txBody>
    </xdr:sp>
    <xdr:clientData/>
  </xdr:twoCellAnchor>
  <xdr:twoCellAnchor>
    <xdr:from>
      <xdr:col>6</xdr:col>
      <xdr:colOff>516965</xdr:colOff>
      <xdr:row>1</xdr:row>
      <xdr:rowOff>40341</xdr:rowOff>
    </xdr:from>
    <xdr:to>
      <xdr:col>8</xdr:col>
      <xdr:colOff>581064</xdr:colOff>
      <xdr:row>5</xdr:row>
      <xdr:rowOff>40341</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5453400" y="371645"/>
          <a:ext cx="1278881" cy="75095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a:t>Total Quantity</a:t>
          </a:r>
        </a:p>
        <a:p>
          <a:pPr algn="l"/>
          <a:endParaRPr lang="en-IN" sz="1100"/>
        </a:p>
        <a:p>
          <a:pPr algn="ctr"/>
          <a:r>
            <a:rPr lang="en-IN" sz="1100"/>
            <a:t>603</a:t>
          </a:r>
        </a:p>
      </xdr:txBody>
    </xdr:sp>
    <xdr:clientData/>
  </xdr:twoCellAnchor>
  <xdr:twoCellAnchor>
    <xdr:from>
      <xdr:col>9</xdr:col>
      <xdr:colOff>1025127</xdr:colOff>
      <xdr:row>1</xdr:row>
      <xdr:rowOff>75901</xdr:rowOff>
    </xdr:from>
    <xdr:to>
      <xdr:col>11</xdr:col>
      <xdr:colOff>375478</xdr:colOff>
      <xdr:row>5</xdr:row>
      <xdr:rowOff>105991</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7783736" y="407205"/>
          <a:ext cx="1514872" cy="78104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100"/>
            <a:t>Average Sales</a:t>
          </a:r>
        </a:p>
        <a:p>
          <a:pPr algn="l"/>
          <a:endParaRPr lang="en-IN" sz="1100"/>
        </a:p>
        <a:p>
          <a:pPr algn="ctr"/>
          <a:r>
            <a:rPr lang="en-IN" sz="1100"/>
            <a:t>7.17M</a:t>
          </a:r>
        </a:p>
      </xdr:txBody>
    </xdr:sp>
    <xdr:clientData/>
  </xdr:twoCellAnchor>
  <xdr:twoCellAnchor>
    <xdr:from>
      <xdr:col>0</xdr:col>
      <xdr:colOff>162128</xdr:colOff>
      <xdr:row>6</xdr:row>
      <xdr:rowOff>8106</xdr:rowOff>
    </xdr:from>
    <xdr:to>
      <xdr:col>5</xdr:col>
      <xdr:colOff>1442720</xdr:colOff>
      <xdr:row>20</xdr:row>
      <xdr:rowOff>111759</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0</xdr:rowOff>
    </xdr:from>
    <xdr:to>
      <xdr:col>13</xdr:col>
      <xdr:colOff>243840</xdr:colOff>
      <xdr:row>20</xdr:row>
      <xdr:rowOff>81280</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141514</xdr:colOff>
      <xdr:row>21</xdr:row>
      <xdr:rowOff>119743</xdr:rowOff>
    </xdr:from>
    <xdr:to>
      <xdr:col>5</xdr:col>
      <xdr:colOff>1493520</xdr:colOff>
      <xdr:row>36</xdr:row>
      <xdr:rowOff>132080</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10160</xdr:colOff>
      <xdr:row>21</xdr:row>
      <xdr:rowOff>81280</xdr:rowOff>
    </xdr:from>
    <xdr:to>
      <xdr:col>13</xdr:col>
      <xdr:colOff>284480</xdr:colOff>
      <xdr:row>37</xdr:row>
      <xdr:rowOff>0</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223520</xdr:colOff>
      <xdr:row>6</xdr:row>
      <xdr:rowOff>50800</xdr:rowOff>
    </xdr:from>
    <xdr:to>
      <xdr:col>21</xdr:col>
      <xdr:colOff>568960</xdr:colOff>
      <xdr:row>20</xdr:row>
      <xdr:rowOff>20320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182880</xdr:colOff>
      <xdr:row>21</xdr:row>
      <xdr:rowOff>81280</xdr:rowOff>
    </xdr:from>
    <xdr:to>
      <xdr:col>21</xdr:col>
      <xdr:colOff>538480</xdr:colOff>
      <xdr:row>36</xdr:row>
      <xdr:rowOff>121920</xdr:rowOff>
    </xdr:to>
    <xdr:graphicFrame macro="">
      <xdr:nvGraphicFramePr>
        <xdr:cNvPr id="14" name="Chart 13">
          <a:extLst>
            <a:ext uri="{FF2B5EF4-FFF2-40B4-BE49-F238E27FC236}">
              <a16:creationId xmlns:a16="http://schemas.microsoft.com/office/drawing/2014/main" id="{00000000-0008-0000-0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203200</xdr:colOff>
      <xdr:row>38</xdr:row>
      <xdr:rowOff>0</xdr:rowOff>
    </xdr:from>
    <xdr:to>
      <xdr:col>3</xdr:col>
      <xdr:colOff>203200</xdr:colOff>
      <xdr:row>51</xdr:row>
      <xdr:rowOff>89535</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3200" y="6965576"/>
              <a:ext cx="1828800"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1684020</xdr:colOff>
      <xdr:row>37</xdr:row>
      <xdr:rowOff>121920</xdr:rowOff>
    </xdr:from>
    <xdr:to>
      <xdr:col>8</xdr:col>
      <xdr:colOff>401320</xdr:colOff>
      <xdr:row>51</xdr:row>
      <xdr:rowOff>28575</xdr:rowOff>
    </xdr:to>
    <mc:AlternateContent xmlns:mc="http://schemas.openxmlformats.org/markup-compatibility/2006" xmlns:a14="http://schemas.microsoft.com/office/drawing/2010/main">
      <mc:Choice Requires="a14">
        <xdr:graphicFrame macro="">
          <xdr:nvGraphicFramePr>
            <xdr:cNvPr id="17" name="State 1">
              <a:extLst>
                <a:ext uri="{FF2B5EF4-FFF2-40B4-BE49-F238E27FC236}">
                  <a16:creationId xmlns:a16="http://schemas.microsoft.com/office/drawing/2014/main" id="{00000000-0008-0000-0300-0000110000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4732020" y="6908202"/>
              <a:ext cx="1837018"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2540</xdr:colOff>
      <xdr:row>37</xdr:row>
      <xdr:rowOff>58420</xdr:rowOff>
    </xdr:from>
    <xdr:to>
      <xdr:col>5</xdr:col>
      <xdr:colOff>1221740</xdr:colOff>
      <xdr:row>50</xdr:row>
      <xdr:rowOff>147955</xdr:rowOff>
    </xdr:to>
    <mc:AlternateContent xmlns:mc="http://schemas.openxmlformats.org/markup-compatibility/2006" xmlns:a14="http://schemas.microsoft.com/office/drawing/2010/main">
      <mc:Choice Requires="a14">
        <xdr:graphicFrame macro="">
          <xdr:nvGraphicFramePr>
            <xdr:cNvPr id="18" name="Country 2">
              <a:extLst>
                <a:ext uri="{FF2B5EF4-FFF2-40B4-BE49-F238E27FC236}">
                  <a16:creationId xmlns:a16="http://schemas.microsoft.com/office/drawing/2014/main" id="{00000000-0008-0000-0300-00001200000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2440940" y="6844702"/>
              <a:ext cx="1828800"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38</xdr:row>
      <xdr:rowOff>0</xdr:rowOff>
    </xdr:from>
    <xdr:to>
      <xdr:col>12</xdr:col>
      <xdr:colOff>597877</xdr:colOff>
      <xdr:row>52</xdr:row>
      <xdr:rowOff>5129</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a16="http://schemas.microsoft.com/office/drawing/2014/main" id="{00000000-0008-0000-0300-000013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337176" y="6965576"/>
              <a:ext cx="1817077" cy="2515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600807</xdr:colOff>
      <xdr:row>38</xdr:row>
      <xdr:rowOff>102578</xdr:rowOff>
    </xdr:from>
    <xdr:to>
      <xdr:col>16</xdr:col>
      <xdr:colOff>583223</xdr:colOff>
      <xdr:row>52</xdr:row>
      <xdr:rowOff>107707</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766783" y="7068154"/>
              <a:ext cx="1811216" cy="2515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58615</xdr:colOff>
      <xdr:row>38</xdr:row>
      <xdr:rowOff>87923</xdr:rowOff>
    </xdr:from>
    <xdr:to>
      <xdr:col>21</xdr:col>
      <xdr:colOff>41030</xdr:colOff>
      <xdr:row>52</xdr:row>
      <xdr:rowOff>93052</xdr:rowOff>
    </xdr:to>
    <mc:AlternateContent xmlns:mc="http://schemas.openxmlformats.org/markup-compatibility/2006" xmlns:a14="http://schemas.microsoft.com/office/drawing/2010/main">
      <mc:Choice Requires="a14">
        <xdr:graphicFrame macro="">
          <xdr:nvGraphicFramePr>
            <xdr:cNvPr id="21" name="Sub Category 1">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mlns="">
        <xdr:sp macro="" textlink="">
          <xdr:nvSpPr>
            <xdr:cNvPr id="0" name=""/>
            <xdr:cNvSpPr>
              <a:spLocks noTextEdit="1"/>
            </xdr:cNvSpPr>
          </xdr:nvSpPr>
          <xdr:spPr>
            <a:xfrm>
              <a:off x="13272591" y="7053499"/>
              <a:ext cx="1811215" cy="2515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586154</xdr:colOff>
      <xdr:row>38</xdr:row>
      <xdr:rowOff>29308</xdr:rowOff>
    </xdr:from>
    <xdr:to>
      <xdr:col>24</xdr:col>
      <xdr:colOff>568569</xdr:colOff>
      <xdr:row>52</xdr:row>
      <xdr:rowOff>34437</xdr:rowOff>
    </xdr:to>
    <mc:AlternateContent xmlns:mc="http://schemas.openxmlformats.org/markup-compatibility/2006" xmlns:a14="http://schemas.microsoft.com/office/drawing/2010/main">
      <mc:Choice Requires="a14">
        <xdr:graphicFrame macro="">
          <xdr:nvGraphicFramePr>
            <xdr:cNvPr id="22" name="Payment 1">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5628930" y="6994884"/>
              <a:ext cx="1811215" cy="2515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50474</xdr:colOff>
      <xdr:row>52</xdr:row>
      <xdr:rowOff>58616</xdr:rowOff>
    </xdr:from>
    <xdr:to>
      <xdr:col>3</xdr:col>
      <xdr:colOff>32890</xdr:colOff>
      <xdr:row>66</xdr:row>
      <xdr:rowOff>63744</xdr:rowOff>
    </xdr:to>
    <mc:AlternateContent xmlns:mc="http://schemas.openxmlformats.org/markup-compatibility/2006">
      <mc:Choice xmlns:a14="http://schemas.microsoft.com/office/drawing/2010/main" Requires="a14">
        <xdr:graphicFrame macro="">
          <xdr:nvGraphicFramePr>
            <xdr:cNvPr id="23" name="Date 1">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50474" y="9857154"/>
              <a:ext cx="1799493" cy="2603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1.67173923611" backgroundQuery="1" createdVersion="6" refreshedVersion="6" minRefreshableVersion="3" recordCount="0" supportSubquery="1" supportAdvancedDrill="1" xr:uid="{00000000-000A-0000-FFFF-FFFFFE000000}">
  <cacheSource type="external" connectionId="1"/>
  <cacheFields count="2">
    <cacheField name="[Table1].[Product].[Product]" caption="Product" numFmtId="0" hierarchy="12" level="1">
      <sharedItems count="6">
        <s v="Dress"/>
        <s v="Headphones"/>
        <s v="Rice 5kg"/>
        <s v="Shirt"/>
        <s v="Shoes"/>
        <s v="Smart Watch"/>
      </sharedItems>
    </cacheField>
    <cacheField name="[Measures].[Sum of Net Sales]" caption="Sum of Net Sales" numFmtId="0" hierarchy="21" level="32767"/>
  </cacheFields>
  <cacheHierarchies count="27">
    <cacheHierarchy uniqueName="[Table1].[Bill No]" caption="Bill No" attribute="1" defaultMemberUniqueName="[Table1].[Bill No].[All]" allUniqueName="[Table1].[Bill No].[All]" dimensionUniqueName="[Table1]" displayFolder="" count="0" memberValueDatatype="130" unbalanced="0"/>
    <cacheHierarchy uniqueName="[Table1].[Date]" caption="Date" attribute="1" defaultMemberUniqueName="[Table1].[Date].[All]" allUniqueName="[Table1].[Date].[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ore]" caption="Store" attribute="1" defaultMemberUniqueName="[Table1].[Store].[All]" allUniqueName="[Table1].[Stor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ty]" caption="Qty" attribute="1" defaultMemberUniqueName="[Table1].[Qty].[All]" allUniqueName="[Table1].[Q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Payment]" caption="Payment" attribute="1" defaultMemberUniqueName="[Table1].[Payment].[All]" allUniqueName="[Table1].[Payment].[All]" dimensionUniqueName="[Table1]" displayFolder="" count="0" memberValueDatatype="130" unbalanced="0"/>
    <cacheHierarchy uniqueName="[Table1].[Cashier]" caption="Cashier" attribute="1" defaultMemberUniqueName="[Table1].[Cashier].[All]" allUniqueName="[Table1].[Cash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1.716881365741" backgroundQuery="1" createdVersion="6" refreshedVersion="6" minRefreshableVersion="3" recordCount="0" supportSubquery="1" supportAdvancedDrill="1" xr:uid="{00000000-000A-0000-FFFF-FFFF0E010000}">
  <cacheSource type="external" connectionId="1"/>
  <cacheFields count="2">
    <cacheField name="[Table1].[Region].[Region]" caption="Region" numFmtId="0" hierarchy="6" level="1">
      <sharedItems count="5">
        <s v="Central"/>
        <s v="East"/>
        <s v="North"/>
        <s v="South"/>
        <s v="West"/>
      </sharedItems>
    </cacheField>
    <cacheField name="[Measures].[Sum of Net Sales]" caption="Sum of Net Sales" numFmtId="0" hierarchy="21" level="32767"/>
  </cacheFields>
  <cacheHierarchies count="27">
    <cacheHierarchy uniqueName="[Table1].[Bill No]" caption="Bill No" attribute="1" defaultMemberUniqueName="[Table1].[Bill No].[All]" allUniqueName="[Table1].[Bill No].[All]" dimensionUniqueName="[Table1]" displayFolder="" count="2" memberValueDatatype="130" unbalanced="0"/>
    <cacheHierarchy uniqueName="[Table1].[Date]" caption="Date" attribute="1" defaultMemberUniqueName="[Table1].[Date].[All]" allUniqueName="[Table1].[Date].[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ore]" caption="Store" attribute="1" defaultMemberUniqueName="[Table1].[Store].[All]" allUniqueName="[Table1].[Stor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 Category]" caption="Sub Category" attribute="1" defaultMemberUniqueName="[Table1].[Sub Category].[All]" allUniqueName="[Table1].[Sub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Net Sales]" caption="Net Sales" attribute="1" defaultMemberUniqueName="[Table1].[Net Sales].[All]" allUniqueName="[Table1].[Net Sales].[All]" dimensionUniqueName="[Table1]" displayFolder="" count="2" memberValueDatatype="5" unbalanced="0"/>
    <cacheHierarchy uniqueName="[Table1].[Payment]" caption="Payment" attribute="1" defaultMemberUniqueName="[Table1].[Payment].[All]" allUniqueName="[Table1].[Payment].[All]" dimensionUniqueName="[Table1]" displayFolder="" count="2" memberValueDatatype="130" unbalanced="0"/>
    <cacheHierarchy uniqueName="[Table1].[Cashier]" caption="Cashier" attribute="1" defaultMemberUniqueName="[Table1].[Cashier].[All]" allUniqueName="[Table1].[Cashie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1.721291666669" backgroundQuery="1" createdVersion="6" refreshedVersion="6" minRefreshableVersion="3" recordCount="0" supportSubquery="1" supportAdvancedDrill="1" xr:uid="{00000000-000A-0000-FFFF-FFFF47010000}">
  <cacheSource type="external" connectionId="1"/>
  <cacheFields count="6">
    <cacheField name="[Table1].[Country].[Country]" caption="Country" numFmtId="0" hierarchy="5" level="1">
      <sharedItems count="1">
        <s v="India"/>
      </sharedItems>
    </cacheField>
    <cacheField name="[Measures].[Sum of Net Sales]" caption="Sum of Net Sales" numFmtId="0" hierarchy="21" level="32767"/>
    <cacheField name="[Table1].[State].[State]" caption="State" numFmtId="0" hierarchy="7" level="1">
      <sharedItems count="5">
        <s v="Delhi"/>
        <s v="Karnataka"/>
        <s v="Madhya Pradesh"/>
        <s v="Maharashtra"/>
        <s v="West Bengal"/>
      </sharedItems>
    </cacheField>
    <cacheField name="[Table1].[City].[City]" caption="City" numFmtId="0" hierarchy="8" level="1">
      <sharedItems count="5">
        <s v="New Delhi"/>
        <s v="Bengaluru"/>
        <s v="Bhopal"/>
        <s v="Mumbai"/>
        <s v="Kolkata"/>
      </sharedItems>
    </cacheField>
    <cacheField name="[Measures].[Sum of Unit Price]" caption="Sum of Unit Price" numFmtId="0" hierarchy="22" level="32767"/>
    <cacheField name="[Measures].[Sum of Discount %]" caption="Sum of Discount %" numFmtId="0" hierarchy="23" level="32767"/>
  </cacheFields>
  <cacheHierarchies count="27">
    <cacheHierarchy uniqueName="[Table1].[Bill No]" caption="Bill No" attribute="1" defaultMemberUniqueName="[Table1].[Bill No].[All]" allUniqueName="[Table1].[Bill No].[All]" dimensionUniqueName="[Table1]" displayFolder="" count="2" memberValueDatatype="130" unbalanced="0"/>
    <cacheHierarchy uniqueName="[Table1].[Date]" caption="Date" attribute="1" defaultMemberUniqueName="[Table1].[Date].[All]" allUniqueName="[Table1].[Date].[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Store]" caption="Store" attribute="1" defaultMemberUniqueName="[Table1].[Store].[All]" allUniqueName="[Table1].[Stor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 Category]" caption="Sub Category" attribute="1" defaultMemberUniqueName="[Table1].[Sub Category].[All]" allUniqueName="[Table1].[Sub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Net Sales]" caption="Net Sales" attribute="1" defaultMemberUniqueName="[Table1].[Net Sales].[All]" allUniqueName="[Table1].[Net Sales].[All]" dimensionUniqueName="[Table1]" displayFolder="" count="2" memberValueDatatype="5" unbalanced="0"/>
    <cacheHierarchy uniqueName="[Table1].[Payment]" caption="Payment" attribute="1" defaultMemberUniqueName="[Table1].[Payment].[All]" allUniqueName="[Table1].[Payment].[All]" dimensionUniqueName="[Table1]" displayFolder="" count="2" memberValueDatatype="130" unbalanced="0"/>
    <cacheHierarchy uniqueName="[Table1].[Cashier]" caption="Cashier" attribute="1" defaultMemberUniqueName="[Table1].[Cashier].[All]" allUniqueName="[Table1].[Cashie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oneField="1" hidden="1">
      <fieldsUsage count="1">
        <fieldUsage x="5"/>
      </fieldsUsage>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1.722428935187" backgroundQuery="1" createdVersion="6" refreshedVersion="6" minRefreshableVersion="3" recordCount="0" supportSubquery="1" supportAdvancedDrill="1" xr:uid="{00000000-000A-0000-FFFF-FFFF4D010000}">
  <cacheSource type="external" connectionId="1"/>
  <cacheFields count="2">
    <cacheField name="[Table1].[Sub Category].[Sub Category]" caption="Sub Category" numFmtId="0" hierarchy="11" level="1">
      <sharedItems count="6">
        <s v="Accessories"/>
        <s v="Men"/>
        <s v="Sports"/>
        <s v="Staples"/>
        <s v="Wearables"/>
        <s v="Women"/>
      </sharedItems>
    </cacheField>
    <cacheField name="[Measures].[Sum of Net Sales]" caption="Sum of Net Sales" numFmtId="0" hierarchy="21" level="32767"/>
  </cacheFields>
  <cacheHierarchies count="27">
    <cacheHierarchy uniqueName="[Table1].[Bill No]" caption="Bill No" attribute="1" defaultMemberUniqueName="[Table1].[Bill No].[All]" allUniqueName="[Table1].[Bill No].[All]" dimensionUniqueName="[Table1]" displayFolder="" count="2" memberValueDatatype="130" unbalanced="0"/>
    <cacheHierarchy uniqueName="[Table1].[Date]" caption="Date" attribute="1" defaultMemberUniqueName="[Table1].[Date].[All]" allUniqueName="[Table1].[Date].[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ore]" caption="Store" attribute="1" defaultMemberUniqueName="[Table1].[Store].[All]" allUniqueName="[Table1].[Stor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 Category]" caption="Sub Category" attribute="1" defaultMemberUniqueName="[Table1].[Sub Category].[All]" allUniqueName="[Table1].[Sub Catego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Net Sales]" caption="Net Sales" attribute="1" defaultMemberUniqueName="[Table1].[Net Sales].[All]" allUniqueName="[Table1].[Net Sales].[All]" dimensionUniqueName="[Table1]" displayFolder="" count="2" memberValueDatatype="5" unbalanced="0"/>
    <cacheHierarchy uniqueName="[Table1].[Payment]" caption="Payment" attribute="1" defaultMemberUniqueName="[Table1].[Payment].[All]" allUniqueName="[Table1].[Payment].[All]" dimensionUniqueName="[Table1]" displayFolder="" count="2" memberValueDatatype="130" unbalanced="0"/>
    <cacheHierarchy uniqueName="[Table1].[Cashier]" caption="Cashier" attribute="1" defaultMemberUniqueName="[Table1].[Cashier].[All]" allUniqueName="[Table1].[Cashie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1.723047222222" backgroundQuery="1" createdVersion="6" refreshedVersion="6" minRefreshableVersion="3" recordCount="0" supportSubquery="1" supportAdvancedDrill="1" xr:uid="{00000000-000A-0000-FFFF-FFFF50010000}">
  <cacheSource type="external" connectionId="1"/>
  <cacheFields count="2">
    <cacheField name="[Table1].[Payment].[Payment]" caption="Payment" numFmtId="0" hierarchy="17" level="1">
      <sharedItems count="4">
        <s v="Cash"/>
        <s v="Credit Card"/>
        <s v="Debit Card"/>
        <s v="UPI"/>
      </sharedItems>
    </cacheField>
    <cacheField name="[Measures].[Count of Bill No]" caption="Count of Bill No" numFmtId="0" hierarchy="26" level="32767"/>
  </cacheFields>
  <cacheHierarchies count="27">
    <cacheHierarchy uniqueName="[Table1].[Bill No]" caption="Bill No" attribute="1" defaultMemberUniqueName="[Table1].[Bill No].[All]" allUniqueName="[Table1].[Bill No].[All]" dimensionUniqueName="[Table1]" displayFolder="" count="2" memberValueDatatype="130" unbalanced="0"/>
    <cacheHierarchy uniqueName="[Table1].[Date]" caption="Date" attribute="1" defaultMemberUniqueName="[Table1].[Date].[All]" allUniqueName="[Table1].[Date].[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ore]" caption="Store" attribute="1" defaultMemberUniqueName="[Table1].[Store].[All]" allUniqueName="[Table1].[Stor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 Category]" caption="Sub Category" attribute="1" defaultMemberUniqueName="[Table1].[Sub Category].[All]" allUniqueName="[Table1].[Sub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Net Sales]" caption="Net Sales" attribute="1" defaultMemberUniqueName="[Table1].[Net Sales].[All]" allUniqueName="[Table1].[Net Sales].[All]" dimensionUniqueName="[Table1]" displayFolder="" count="2" memberValueDatatype="5" unbalanced="0"/>
    <cacheHierarchy uniqueName="[Table1].[Payment]" caption="Payment" attribute="1" defaultMemberUniqueName="[Table1].[Payment].[All]" allUniqueName="[Table1].[Payment].[All]" dimensionUniqueName="[Table1]" displayFolder="" count="2" memberValueDatatype="130" unbalanced="0">
      <fieldsUsage count="2">
        <fieldUsage x="-1"/>
        <fieldUsage x="0"/>
      </fieldsUsage>
    </cacheHierarchy>
    <cacheHierarchy uniqueName="[Table1].[Cashier]" caption="Cashier" attribute="1" defaultMemberUniqueName="[Table1].[Cashier].[All]" allUniqueName="[Table1].[Cashie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1.730165277775" backgroundQuery="1" createdVersion="6" refreshedVersion="6" minRefreshableVersion="3" recordCount="0" supportSubquery="1" supportAdvancedDrill="1" xr:uid="{00000000-000A-0000-FFFF-FFFF8F010000}">
  <cacheSource type="external" connectionId="1"/>
  <cacheFields count="2">
    <cacheField name="[Measures].[Sum of Net Sales]" caption="Sum of Net Sales" numFmtId="0" hierarchy="21" level="32767"/>
    <cacheField name="[Table1].[Date].[Date]" caption="Date" numFmtId="0" hierarchy="1" level="1">
      <sharedItems count="111">
        <s v="01-Apr-2026"/>
        <s v="01-Jun-2026"/>
        <s v="02-Apr-2026"/>
        <s v="02-Feb-2026"/>
        <s v="02-May-2026"/>
        <s v="03-Apr-2026"/>
        <s v="03-Feb-2026"/>
        <s v="03-Jun-2026"/>
        <s v="03-Mar-2026"/>
        <s v="04-Apr-2026"/>
        <s v="04-Feb-2026"/>
        <s v="04-Jan-2026"/>
        <s v="04-Jun-2026"/>
        <s v="04-May-2026"/>
        <s v="05-Jan-2026"/>
        <s v="05-Jun-2026"/>
        <s v="05-May-2026"/>
        <s v="06-Apr-2026"/>
        <s v="06-Feb-2026"/>
        <s v="06-Jan-2026"/>
        <s v="06-Mar-2026"/>
        <s v="07-Apr-2026"/>
        <s v="07-Jan-2026"/>
        <s v="07-Jun-2026"/>
        <s v="07-Mar-2026"/>
        <s v="07-May-2026"/>
        <s v="08-Feb-2026"/>
        <s v="08-Jan-2026"/>
        <s v="08-Jun-2026"/>
        <s v="09-Feb-2026"/>
        <s v="09-Jun-2026"/>
        <s v="09-Mar-2026"/>
        <s v="10-Feb-2026"/>
        <s v="10-Jan-2026"/>
        <s v="10-Jun-2026"/>
        <s v="10-Mar-2026"/>
        <s v="11-Feb-2026"/>
        <s v="11-Jun-2026"/>
        <s v="11-Mar-2026"/>
        <s v="11-May-2026"/>
        <s v="12-Apr-2026"/>
        <s v="12-Feb-2026"/>
        <s v="12-Jun-2026"/>
        <s v="12-Mar-2026"/>
        <s v="13-Apr-2026"/>
        <s v="13-Feb-2026"/>
        <s v="13-May-2026"/>
        <s v="14-Feb-2026"/>
        <s v="14-Mar-2026"/>
        <s v="15-Apr-2026"/>
        <s v="15-Feb-2026"/>
        <s v="15-Mar-2026"/>
        <s v="15-May-2026"/>
        <s v="16-Apr-2026"/>
        <s v="16-Feb-2026"/>
        <s v="16-Jun-2026"/>
        <s v="17-Apr-2026"/>
        <s v="17-Feb-2026"/>
        <s v="17-Jan-2026"/>
        <s v="17-Mar-2026"/>
        <s v="18-Feb-2026"/>
        <s v="18-May-2026"/>
        <s v="19-Apr-2026"/>
        <s v="19-Feb-2026"/>
        <s v="19-Jan-2026"/>
        <s v="20-May-2026"/>
        <s v="21-Apr-2026"/>
        <s v="21-Jan-2026"/>
        <s v="21-Mar-2026"/>
        <s v="22-Apr-2026"/>
        <s v="22-Feb-2026"/>
        <s v="22-Jan-2026"/>
        <s v="22-Jun-2026"/>
        <s v="22-Mar-2026"/>
        <s v="22-May-2026"/>
        <s v="23-Apr-2026"/>
        <s v="23-Feb-2026"/>
        <s v="23-Jan-2026"/>
        <s v="23-Jun-2026"/>
        <s v="23-May-2026"/>
        <s v="24-Apr-2026"/>
        <s v="24-Jan-2026"/>
        <s v="24-Jun-2026"/>
        <s v="24-May-2026"/>
        <s v="25-Apr-2026"/>
        <s v="25-Feb-2026"/>
        <s v="25-Jan-2026"/>
        <s v="25-Jun-2026"/>
        <s v="25-Mar-2026"/>
        <s v="26-Apr-2026"/>
        <s v="26-Jan-2026"/>
        <s v="26-May-2026"/>
        <s v="27-Feb-2026"/>
        <s v="27-Jun-2026"/>
        <s v="27-Mar-2026"/>
        <s v="27-May-2026"/>
        <s v="28-Apr-2026"/>
        <s v="28-Jan-2026"/>
        <s v="28-Jun-2026"/>
        <s v="28-Mar-2026"/>
        <s v="28-May-2026"/>
        <s v="29-Apr-2026"/>
        <s v="29-Jan-2026"/>
        <s v="29-Jun-2026"/>
        <s v="29-May-2026"/>
        <s v="30-Apr-2026"/>
        <s v="30-Jun-2026"/>
        <s v="30-May-2026"/>
        <s v="31-Jan-2026"/>
        <s v="31-Mar-2026"/>
        <s v="31-May-2026"/>
      </sharedItems>
    </cacheField>
  </cacheFields>
  <cacheHierarchies count="27">
    <cacheHierarchy uniqueName="[Table1].[Bill No]" caption="Bill No" attribute="1" defaultMemberUniqueName="[Table1].[Bill No].[All]" allUniqueName="[Table1].[Bill No].[All]" dimensionUniqueName="[Table1]" displayFolder="" count="2" memberValueDatatype="130" unbalanced="0"/>
    <cacheHierarchy uniqueName="[Table1].[Date]" caption="Date" attribute="1" defaultMemberUniqueName="[Table1].[Date].[All]" allUniqueName="[Table1].[Date].[All]" dimensionUniqueName="[Table1]" displayFolder="" count="2" memberValueDatatype="130" unbalanced="0">
      <fieldsUsage count="2">
        <fieldUsage x="-1"/>
        <fieldUsage x="1"/>
      </fieldsUsage>
    </cacheHierarchy>
    <cacheHierarchy uniqueName="[Table1].[Customer]" caption="Customer" attribute="1" defaultMemberUniqueName="[Table1].[Customer].[All]" allUniqueName="[Table1].[Customer].[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ore]" caption="Store" attribute="1" defaultMemberUniqueName="[Table1].[Store].[All]" allUniqueName="[Table1].[Stor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 Category]" caption="Sub Category" attribute="1" defaultMemberUniqueName="[Table1].[Sub Category].[All]" allUniqueName="[Table1].[Sub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Net Sales]" caption="Net Sales" attribute="1" defaultMemberUniqueName="[Table1].[Net Sales].[All]" allUniqueName="[Table1].[Net Sales].[All]" dimensionUniqueName="[Table1]" displayFolder="" count="2" memberValueDatatype="5" unbalanced="0"/>
    <cacheHierarchy uniqueName="[Table1].[Payment]" caption="Payment" attribute="1" defaultMemberUniqueName="[Table1].[Payment].[All]" allUniqueName="[Table1].[Payment].[All]" dimensionUniqueName="[Table1]" displayFolder="" count="2" memberValueDatatype="130" unbalanced="0"/>
    <cacheHierarchy uniqueName="[Table1].[Cashier]" caption="Cashier" attribute="1" defaultMemberUniqueName="[Table1].[Cashier].[All]" allUniqueName="[Table1].[Cashie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1.737158912038" backgroundQuery="1" createdVersion="6" refreshedVersion="6" minRefreshableVersion="3" recordCount="0" supportSubquery="1" supportAdvancedDrill="1" xr:uid="{00000000-000A-0000-FFFF-FFFF9D010000}">
  <cacheSource type="external" connectionId="1"/>
  <cacheFields count="2">
    <cacheField name="[Table1].[Product].[Product]" caption="Product" numFmtId="0" hierarchy="12" level="1">
      <sharedItems count="6">
        <s v="Dress"/>
        <s v="Headphones"/>
        <s v="Rice 5kg"/>
        <s v="Shirt"/>
        <s v="Shoes"/>
        <s v="Smart Watch"/>
      </sharedItems>
    </cacheField>
    <cacheField name="[Measures].[Sum of Net Sales]" caption="Sum of Net Sales" numFmtId="0" hierarchy="21" level="32767"/>
  </cacheFields>
  <cacheHierarchies count="27">
    <cacheHierarchy uniqueName="[Table1].[Bill No]" caption="Bill No" attribute="1" defaultMemberUniqueName="[Table1].[Bill No].[All]" allUniqueName="[Table1].[Bill No].[All]" dimensionUniqueName="[Table1]" displayFolder="" count="0" memberValueDatatype="130" unbalanced="0"/>
    <cacheHierarchy uniqueName="[Table1].[Date]" caption="Date" attribute="1" defaultMemberUniqueName="[Table1].[Date].[All]" allUniqueName="[Table1].[Date].[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ore]" caption="Store" attribute="1" defaultMemberUniqueName="[Table1].[Store].[All]" allUniqueName="[Table1].[Stor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ty]" caption="Qty" attribute="1" defaultMemberUniqueName="[Table1].[Qty].[All]" allUniqueName="[Table1].[Q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Payment]" caption="Payment" attribute="1" defaultMemberUniqueName="[Table1].[Payment].[All]" allUniqueName="[Table1].[Payment].[All]" dimensionUniqueName="[Table1]" displayFolder="" count="0" memberValueDatatype="130" unbalanced="0"/>
    <cacheHierarchy uniqueName="[Table1].[Cashier]" caption="Cashier" attribute="1" defaultMemberUniqueName="[Table1].[Cashier].[All]" allUniqueName="[Table1].[Cash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4.733269560187" backgroundQuery="1" createdVersion="6" refreshedVersion="8" minRefreshableVersion="3" recordCount="0" supportSubquery="1" supportAdvancedDrill="1" xr:uid="{00000000-000A-0000-FFFF-FFFF4A010000}">
  <cacheSource type="external" connectionId="1"/>
  <cacheFields count="2">
    <cacheField name="[Table1].[Category].[Category]" caption="Category" numFmtId="0" hierarchy="10" level="1">
      <sharedItems count="1">
        <s v="Fashion"/>
      </sharedItems>
    </cacheField>
    <cacheField name="[Measures].[Sum of Net Sales]" caption="Sum of Net Sales" numFmtId="0" hierarchy="21" level="32767"/>
  </cacheFields>
  <cacheHierarchies count="27">
    <cacheHierarchy uniqueName="[Table1].[Bill No]" caption="Bill No" attribute="1" defaultMemberUniqueName="[Table1].[Bill No].[All]" allUniqueName="[Table1].[Bill No].[All]" dimensionUniqueName="[Table1]" displayFolder="" count="2" memberValueDatatype="130" unbalanced="0"/>
    <cacheHierarchy uniqueName="[Table1].[Date]" caption="Date" attribute="1" defaultMemberUniqueName="[Table1].[Date].[All]" allUniqueName="[Table1].[Date].[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ore]" caption="Store" attribute="1" defaultMemberUniqueName="[Table1].[Store].[All]" allUniqueName="[Table1].[Stor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 Category]" caption="Sub Category" attribute="1" defaultMemberUniqueName="[Table1].[Sub Category].[All]" allUniqueName="[Table1].[Sub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ty]" caption="Qty" attribute="1" defaultMemberUniqueName="[Table1].[Qty].[All]" allUniqueName="[Table1].[Q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Net Sales]" caption="Net Sales" attribute="1" defaultMemberUniqueName="[Table1].[Net Sales].[All]" allUniqueName="[Table1].[Net Sales].[All]" dimensionUniqueName="[Table1]" displayFolder="" count="2" memberValueDatatype="5" unbalanced="0"/>
    <cacheHierarchy uniqueName="[Table1].[Payment]" caption="Payment" attribute="1" defaultMemberUniqueName="[Table1].[Payment].[All]" allUniqueName="[Table1].[Payment].[All]" dimensionUniqueName="[Table1]" displayFolder="" count="2" memberValueDatatype="130" unbalanced="0"/>
    <cacheHierarchy uniqueName="[Table1].[Cashier]" caption="Cashier" attribute="1" defaultMemberUniqueName="[Table1].[Cashier].[All]" allUniqueName="[Table1].[Cashie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1.716875694445" backgroundQuery="1" createdVersion="3" refreshedVersion="6" minRefreshableVersion="3" recordCount="0" supportSubquery="1" supportAdvancedDrill="1" xr:uid="{00000000-000A-0000-FFFF-FFFF0B010000}">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Bill No]" caption="Bill No" attribute="1" defaultMemberUniqueName="[Table1].[Bill No].[All]" allUniqueName="[Table1].[Bill No].[All]" dimensionUniqueName="[Table1]" displayFolder="" count="0" memberValueDatatype="130" unbalanced="0"/>
    <cacheHierarchy uniqueName="[Table1].[Date]" caption="Date" attribute="1" defaultMemberUniqueName="[Table1].[Date].[All]" allUniqueName="[Table1].[Date].[All]" dimensionUniqueName="[Table1]" displayFolder="" count="2"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ore]" caption="Store" attribute="1" defaultMemberUniqueName="[Table1].[Store].[All]" allUniqueName="[Table1].[Stor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 Category]" caption="Sub Category" attribute="1" defaultMemberUniqueName="[Table1].[Sub Category].[All]" allUniqueName="[Table1].[Sub 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Net Sales]" caption="Net Sales" attribute="1" defaultMemberUniqueName="[Table1].[Net Sales].[All]" allUniqueName="[Table1].[Net Sales].[All]" dimensionUniqueName="[Table1]" displayFolder="" count="0" memberValueDatatype="5" unbalanced="0"/>
    <cacheHierarchy uniqueName="[Table1].[Payment]" caption="Payment" attribute="1" defaultMemberUniqueName="[Table1].[Payment].[All]" allUniqueName="[Table1].[Payment].[All]" dimensionUniqueName="[Table1]" displayFolder="" count="2" memberValueDatatype="130" unbalanced="0"/>
    <cacheHierarchy uniqueName="[Table1].[Cashier]" caption="Cashier" attribute="1" defaultMemberUniqueName="[Table1].[Cashier].[All]" allUniqueName="[Table1].[Cashier].[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1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4"/>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5"/>
        </ext>
      </extLst>
    </cacheHierarchy>
    <cacheHierarchy uniqueName="[Measures].[Count of Cashier]" caption="Count of Cashier" measure="1" displayFolder="" measureGroup="Table1" count="0" hidden="1">
      <extLst>
        <ext xmlns:x15="http://schemas.microsoft.com/office/spreadsheetml/2010/11/main" uri="{B97F6D7D-B522-45F9-BDA1-12C45D357490}">
          <x15:cacheHierarchy aggregatedColumn="18"/>
        </ext>
      </extLst>
    </cacheHierarchy>
    <cacheHierarchy uniqueName="[Measures].[Count of Payment]" caption="Count of Payment" measure="1" displayFolder="" measureGroup="Table1" count="0" hidden="1">
      <extLst>
        <ext xmlns:x15="http://schemas.microsoft.com/office/spreadsheetml/2010/11/main" uri="{B97F6D7D-B522-45F9-BDA1-12C45D357490}">
          <x15:cacheHierarchy aggregatedColumn="17"/>
        </ext>
      </extLst>
    </cacheHierarchy>
    <cacheHierarchy uniqueName="[Measures].[Count of Bill No]" caption="Count of Bill No"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1:B7" firstHeaderRow="1" firstDataRow="1" firstDataCol="1"/>
  <pivotFields count="2">
    <pivotField axis="axisRow" allDrilled="1" showAll="0" dataSourceSort="1" defaultAttributeDrillState="1">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Net Sales" fld="1" baseField="0" baseItem="0" numFmtId="164"/>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ll_Sales_200_Records_Region_SubCategory_Country.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18:B130" firstHeaderRow="1" firstDataRow="1" firstDataCol="1"/>
  <pivotFields count="2">
    <pivotField dataField="1" showAll="0"/>
    <pivotField axis="axisRow" allDrilled="1" showAll="0" dataSourceSort="1" defaultAttributeDrillState="1">
      <items count="112">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t="default"/>
      </items>
    </pivotField>
  </pivotFields>
  <rowFields count="1">
    <field x="1"/>
  </rowFields>
  <rowItems count="1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Items count="1">
    <i/>
  </colItems>
  <dataFields count="1">
    <dataField name="Sum of Net Sales" fld="0"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11"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15">
  <location ref="A11:B13" firstHeaderRow="1" firstDataRow="1" firstDataCol="1"/>
  <pivotFields count="2">
    <pivotField axis="axisRow" allDrilled="1" showAll="0" dataSourceSort="1" defaultAttributeDrillState="1">
      <items count="2">
        <item s="1" x="0" e="0"/>
        <item t="default"/>
      </items>
    </pivotField>
    <pivotField dataField="1" showAll="0"/>
  </pivotFields>
  <rowFields count="1">
    <field x="0"/>
  </rowFields>
  <rowItems count="2">
    <i>
      <x/>
    </i>
    <i t="grand">
      <x/>
    </i>
  </rowItems>
  <colItems count="1">
    <i/>
  </colItems>
  <dataFields count="1">
    <dataField name="Sum of Net Sales" fld="1" baseField="0" baseItem="0" numFmtId="164"/>
  </dataFields>
  <chartFormats count="2">
    <chartFormat chart="11"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ll_Sales_200_Records_Region_SubCategory_Country.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9:E24"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Bill No" fld="1"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 chart="3" format="15">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B24" firstHeaderRow="1" firstDataRow="1" firstDataCol="1"/>
  <pivotFields count="2">
    <pivotField axis="axisRow" allDrilled="1" showAll="0" measureFilter="1" dataSourceSort="1" defaultAttributeDrillState="1">
      <items count="7">
        <item x="0"/>
        <item x="1"/>
        <item x="2"/>
        <item x="3"/>
        <item x="4"/>
        <item x="5"/>
        <item t="default"/>
      </items>
    </pivotField>
    <pivotField dataField="1" showAll="0"/>
  </pivotFields>
  <rowFields count="1">
    <field x="0"/>
  </rowFields>
  <rowItems count="7">
    <i>
      <x/>
    </i>
    <i>
      <x v="1"/>
    </i>
    <i>
      <x v="2"/>
    </i>
    <i>
      <x v="3"/>
    </i>
    <i>
      <x v="4"/>
    </i>
    <i>
      <x v="5"/>
    </i>
    <i t="grand">
      <x/>
    </i>
  </rowItems>
  <colItems count="1">
    <i/>
  </colItems>
  <dataFields count="1">
    <dataField name="Sum of Net Sales"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3"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D15" firstHeaderRow="0" firstDataRow="1" firstDataCol="1"/>
  <pivotFields count="6">
    <pivotField axis="axisRow" allDrilled="1" showAll="0" dataSourceSort="1" defaultAttributeDrillState="1">
      <items count="2">
        <item x="0"/>
        <item t="default"/>
      </items>
    </pivotField>
    <pivotField dataField="1" showAll="0"/>
    <pivotField axis="axisRow" allDrilled="1" showAll="0" dataSourceSort="1" defaultAttributeDrillState="1">
      <items count="6">
        <item x="0"/>
        <item x="1"/>
        <item x="2"/>
        <item x="3"/>
        <item x="4"/>
        <item t="default"/>
      </items>
    </pivotField>
    <pivotField axis="axisRow" allDrilled="1" showAll="0" dataSourceSort="1" defaultAttributeDrillState="1">
      <items count="6">
        <item x="0"/>
        <item x="1"/>
        <item x="2"/>
        <item x="3"/>
        <item x="4"/>
        <item t="default"/>
      </items>
    </pivotField>
    <pivotField dataField="1" showAll="0"/>
    <pivotField dataField="1" showAll="0"/>
  </pivotFields>
  <rowFields count="3">
    <field x="0"/>
    <field x="2"/>
    <field x="3"/>
  </rowFields>
  <rowItems count="12">
    <i>
      <x/>
    </i>
    <i r="1">
      <x/>
    </i>
    <i r="2">
      <x/>
    </i>
    <i r="1">
      <x v="1"/>
    </i>
    <i r="2">
      <x v="1"/>
    </i>
    <i r="1">
      <x v="2"/>
    </i>
    <i r="2">
      <x v="2"/>
    </i>
    <i r="1">
      <x v="3"/>
    </i>
    <i r="2">
      <x v="3"/>
    </i>
    <i r="1">
      <x v="4"/>
    </i>
    <i r="2">
      <x v="4"/>
    </i>
    <i t="grand">
      <x/>
    </i>
  </rowItems>
  <colFields count="1">
    <field x="-2"/>
  </colFields>
  <colItems count="3">
    <i>
      <x/>
    </i>
    <i i="1">
      <x v="1"/>
    </i>
    <i i="2">
      <x v="2"/>
    </i>
  </colItems>
  <dataFields count="3">
    <dataField name="Sum of Net Sales" fld="1" baseField="0" baseItem="0" numFmtId="164"/>
    <dataField name="Sum of Unit Price" fld="4" baseField="0" baseItem="0" numFmtId="164"/>
    <dataField name="Sum of Discount %" fld="5"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27">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5"/>
    <rowHierarchyUsage hierarchyUsage="7"/>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ll_Sales_200_Records_Region_SubCategory_Country.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8"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8:H25" firstHeaderRow="1" firstDataRow="1" firstDataCol="1"/>
  <pivotFields count="2">
    <pivotField axis="axisRow" allDrilled="1" showAll="0" measureFilter="1" dataSourceSort="1" defaultAttributeDrillState="1">
      <items count="7">
        <item x="0"/>
        <item x="1"/>
        <item x="2"/>
        <item x="3"/>
        <item x="4"/>
        <item x="5"/>
        <item t="default"/>
      </items>
    </pivotField>
    <pivotField dataField="1" showAll="0"/>
  </pivotFields>
  <rowFields count="1">
    <field x="0"/>
  </rowFields>
  <rowItems count="7">
    <i>
      <x/>
    </i>
    <i>
      <x v="1"/>
    </i>
    <i>
      <x v="2"/>
    </i>
    <i>
      <x v="3"/>
    </i>
    <i>
      <x v="4"/>
    </i>
    <i>
      <x v="5"/>
    </i>
    <i t="grand">
      <x/>
    </i>
  </rowItems>
  <colItems count="1">
    <i/>
  </colItems>
  <dataFields count="1">
    <dataField name="Sum of Net Sales" fld="1"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7"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F4:G11" firstHeaderRow="1" firstDataRow="1" firstDataCol="1"/>
  <pivotFields count="2">
    <pivotField axis="axisRow" allDrilled="1" showAll="0" dataSourceSort="1" defaultAttributeDrillState="1">
      <items count="7">
        <item x="0"/>
        <item x="1"/>
        <item x="2"/>
        <item x="3"/>
        <item x="4"/>
        <item x="5"/>
        <item t="default"/>
      </items>
    </pivotField>
    <pivotField dataField="1" showAll="0"/>
  </pivotFields>
  <rowFields count="1">
    <field x="0"/>
  </rowFields>
  <rowItems count="7">
    <i>
      <x/>
    </i>
    <i>
      <x v="1"/>
    </i>
    <i>
      <x v="2"/>
    </i>
    <i>
      <x v="3"/>
    </i>
    <i>
      <x v="4"/>
    </i>
    <i>
      <x v="5"/>
    </i>
    <i t="grand">
      <x/>
    </i>
  </rowItems>
  <colItems count="1">
    <i/>
  </colItems>
  <dataFields count="1">
    <dataField name="Sum of Net Sales" fld="1" baseField="0" baseItem="0"/>
  </dataFields>
  <chartFormats count="1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3" format="14">
      <pivotArea type="data" outline="0" fieldPosition="0">
        <references count="2">
          <reference field="4294967294" count="1" selected="0">
            <x v="0"/>
          </reference>
          <reference field="0" count="1" selected="0">
            <x v="5"/>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Table1].[Region]">
  <pivotTables>
    <pivotTable tabId="2" name="PivotTable4"/>
  </pivotTables>
  <data>
    <olap pivotCacheId="1">
      <levels count="2">
        <level uniqueName="[Table1].[Region].[(All)]" sourceCaption="(All)" count="0"/>
        <level uniqueName="[Table1].[Region].[Region]" sourceCaption="Region" count="5">
          <ranges>
            <range startItem="0">
              <i n="[Table1].[Region].&amp;[Central]" c="Central"/>
              <i n="[Table1].[Region].&amp;[East]" c="East"/>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Table1].[Country]">
  <pivotTables>
    <pivotTable tabId="3" name="PivotTable13"/>
  </pivotTables>
  <data>
    <olap pivotCacheId="1">
      <levels count="2">
        <level uniqueName="[Table1].[Country].[(All)]" sourceCaption="(All)" count="0"/>
        <level uniqueName="[Table1].[Country].[Country]" sourceCaption="Country" count="1">
          <ranges>
            <range startItem="0">
              <i n="[Table1].[Country].&amp;[India]" c="India"/>
            </range>
          </ranges>
        </level>
      </levels>
      <selections count="1">
        <selection n="[Table1].[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3000000}" sourceName="[Table1].[State]">
  <pivotTables>
    <pivotTable tabId="3" name="PivotTable13"/>
  </pivotTables>
  <data>
    <olap pivotCacheId="1">
      <levels count="2">
        <level uniqueName="[Table1].[State].[(All)]" sourceCaption="(All)" count="0"/>
        <level uniqueName="[Table1].[State].[State]" sourceCaption="State" count="5">
          <ranges>
            <range startItem="0">
              <i n="[Table1].[State].&amp;[Delhi]" c="Delhi"/>
              <i n="[Table1].[State].&amp;[Karnataka]" c="Karnataka"/>
              <i n="[Table1].[State].&amp;[Madhya Pradesh]" c="Madhya Pradesh"/>
              <i n="[Table1].[State].&amp;[Maharashtra]" c="Maharashtra"/>
              <i n="[Table1].[State].&amp;[West Bengal]" c="West Bengal"/>
            </range>
          </ranges>
        </level>
      </levels>
      <selections count="1">
        <selection n="[Table1].[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4000000}" sourceName="[Table1].[City]">
  <pivotTables>
    <pivotTable tabId="3" name="PivotTable13"/>
  </pivotTables>
  <data>
    <olap pivotCacheId="1">
      <levels count="2">
        <level uniqueName="[Table1].[City].[(All)]" sourceCaption="(All)" count="0"/>
        <level uniqueName="[Table1].[City].[City]" sourceCaption="City" count="5">
          <ranges>
            <range startItem="0">
              <i n="[Table1].[City].&amp;[Bengaluru]" c="Bengaluru"/>
              <i n="[Table1].[City].&amp;[Bhopal]" c="Bhopal"/>
              <i n="[Table1].[City].&amp;[Kolkata]" c="Kolkata"/>
              <i n="[Table1].[City].&amp;[Mumbai]" c="Mumbai"/>
              <i n="[Table1].[City].&amp;[New Delhi]" c="New Delhi"/>
            </range>
          </ranges>
        </level>
      </levels>
      <selections count="1">
        <selection n="[Table1].[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5000000}" sourceName="[Table1].[Category]">
  <pivotTables>
    <pivotTable tabId="2" name="PivotTable5"/>
  </pivotTables>
  <data>
    <olap pivotCacheId="1">
      <levels count="2">
        <level uniqueName="[Table1].[Category].[(All)]" sourceCaption="(All)" count="0"/>
        <level uniqueName="[Table1].[Category].[Category]" sourceCaption="Category" count="4">
          <ranges>
            <range startItem="0">
              <i n="[Table1].[Category].&amp;[Electronics]" c="Electronics"/>
              <i n="[Table1].[Category].&amp;[Fashion]" c="Fashion"/>
              <i n="[Table1].[Category].&amp;[Footwear]" c="Footwear"/>
              <i n="[Table1].[Category].&amp;[Grocery]" c="Grocery"/>
            </range>
          </ranges>
        </level>
      </levels>
      <selections count="1">
        <selection n="[Table1].[Category].&amp;[Fashion]"/>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6000000}" sourceName="[Table1].[Sub Category]">
  <pivotTables>
    <pivotTable tabId="3" name="PivotTable17"/>
  </pivotTables>
  <data>
    <olap pivotCacheId="1">
      <levels count="2">
        <level uniqueName="[Table1].[Sub Category].[(All)]" sourceCaption="(All)" count="0"/>
        <level uniqueName="[Table1].[Sub Category].[Sub Category]" sourceCaption="Sub Category" count="6">
          <ranges>
            <range startItem="0">
              <i n="[Table1].[Sub Category].&amp;[Accessories]" c="Accessories"/>
              <i n="[Table1].[Sub Category].&amp;[Men]" c="Men"/>
              <i n="[Table1].[Sub Category].&amp;[Sports]" c="Sports"/>
              <i n="[Table1].[Sub Category].&amp;[Staples]" c="Staples"/>
              <i n="[Table1].[Sub Category].&amp;[Wearables]" c="Wearables"/>
              <i n="[Table1].[Sub Category].&amp;[Women]" c="Women"/>
            </range>
          </ranges>
        </level>
      </levels>
      <selections count="1">
        <selection n="[Table1].[Sub 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0000000-0013-0000-FFFF-FFFF07000000}" sourceName="[Table1].[Payment]">
  <pivotTables>
    <pivotTable tabId="3" name="PivotTable15"/>
  </pivotTables>
  <data>
    <olap pivotCacheId="1">
      <levels count="2">
        <level uniqueName="[Table1].[Payment].[(All)]" sourceCaption="(All)" count="0"/>
        <level uniqueName="[Table1].[Payment].[Payment]" sourceCaption="Payment" count="4">
          <ranges>
            <range startItem="0">
              <i n="[Table1].[Payment].&amp;[Cash]" c="Cash"/>
              <i n="[Table1].[Payment].&amp;[Credit Card]" c="Credit Card"/>
              <i n="[Table1].[Payment].&amp;[Debit Card]" c="Debit Card"/>
              <i n="[Table1].[Payment].&amp;[UPI]" c="UPI"/>
            </range>
          </ranges>
        </level>
      </levels>
      <selections count="1">
        <selection n="[Table1].[Paym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8000000}" sourceName="[Table1].[Date]">
  <pivotTables>
    <pivotTable tabId="2" name="PivotTable6"/>
  </pivotTables>
  <data>
    <olap pivotCacheId="1">
      <levels count="2">
        <level uniqueName="[Table1].[Date].[(All)]" sourceCaption="(All)" count="0"/>
        <level uniqueName="[Table1].[Date].[Date]" sourceCaption="Date" count="116">
          <ranges>
            <range startItem="0">
              <i n="[Table1].[Date].&amp;[01-Apr-2026]" c="01-Apr-2026"/>
              <i n="[Table1].[Date].&amp;[01-Jun-2026]" c="01-Jun-2026"/>
              <i n="[Table1].[Date].&amp;[02-Apr-2026]" c="02-Apr-2026"/>
              <i n="[Table1].[Date].&amp;[02-Feb-2026]" c="02-Feb-2026"/>
              <i n="[Table1].[Date].&amp;[02-May-2026]" c="02-May-2026"/>
              <i n="[Table1].[Date].&amp;[03-Apr-2026]" c="03-Apr-2026"/>
              <i n="[Table1].[Date].&amp;[03-Feb-2026]" c="03-Feb-2026"/>
              <i n="[Table1].[Date].&amp;[03-Jun-2026]" c="03-Jun-2026"/>
              <i n="[Table1].[Date].&amp;[03-Mar-2026]" c="03-Mar-2026"/>
              <i n="[Table1].[Date].&amp;[04-Apr-2026]" c="04-Apr-2026"/>
              <i n="[Table1].[Date].&amp;[04-Feb-2026]" c="04-Feb-2026"/>
              <i n="[Table1].[Date].&amp;[04-Jan-2026]" c="04-Jan-2026"/>
              <i n="[Table1].[Date].&amp;[04-Jun-2026]" c="04-Jun-2026"/>
              <i n="[Table1].[Date].&amp;[04-May-2026]" c="04-May-2026"/>
              <i n="[Table1].[Date].&amp;[05-Jan-2026]" c="05-Jan-2026"/>
              <i n="[Table1].[Date].&amp;[05-Jun-2026]" c="05-Jun-2026"/>
              <i n="[Table1].[Date].&amp;[05-May-2026]" c="05-May-2026"/>
              <i n="[Table1].[Date].&amp;[06-Apr-2026]" c="06-Apr-2026"/>
              <i n="[Table1].[Date].&amp;[06-Feb-2026]" c="06-Feb-2026"/>
              <i n="[Table1].[Date].&amp;[06-Jan-2026]" c="06-Jan-2026"/>
              <i n="[Table1].[Date].&amp;[06-Mar-2026]" c="06-Mar-2026"/>
              <i n="[Table1].[Date].&amp;[07-Apr-2026]" c="07-Apr-2026"/>
              <i n="[Table1].[Date].&amp;[07-Jan-2026]" c="07-Jan-2026"/>
              <i n="[Table1].[Date].&amp;[07-Jun-2026]" c="07-Jun-2026"/>
              <i n="[Table1].[Date].&amp;[07-Mar-2026]" c="07-Mar-2026"/>
              <i n="[Table1].[Date].&amp;[07-May-2026]" c="07-May-2026"/>
              <i n="[Table1].[Date].&amp;[08-Feb-2026]" c="08-Feb-2026"/>
              <i n="[Table1].[Date].&amp;[08-Jan-2026]" c="08-Jan-2026"/>
              <i n="[Table1].[Date].&amp;[08-Jun-2026]" c="08-Jun-2026"/>
              <i n="[Table1].[Date].&amp;[09-Feb-2026]" c="09-Feb-2026"/>
              <i n="[Table1].[Date].&amp;[09-Jun-2026]" c="09-Jun-2026"/>
              <i n="[Table1].[Date].&amp;[09-Mar-2026]" c="09-Mar-2026"/>
              <i n="[Table1].[Date].&amp;[10-Feb-2026]" c="10-Feb-2026"/>
              <i n="[Table1].[Date].&amp;[10-Jan-2026]" c="10-Jan-2026"/>
              <i n="[Table1].[Date].&amp;[10-Jun-2026]" c="10-Jun-2026"/>
              <i n="[Table1].[Date].&amp;[10-Mar-2026]" c="10-Mar-2026"/>
              <i n="[Table1].[Date].&amp;[11-Feb-2026]" c="11-Feb-2026"/>
              <i n="[Table1].[Date].&amp;[11-Jun-2026]" c="11-Jun-2026"/>
              <i n="[Table1].[Date].&amp;[11-Mar-2026]" c="11-Mar-2026"/>
              <i n="[Table1].[Date].&amp;[11-May-2026]" c="11-May-2026"/>
              <i n="[Table1].[Date].&amp;[12-Apr-2026]" c="12-Apr-2026"/>
              <i n="[Table1].[Date].&amp;[12-Feb-2026]" c="12-Feb-2026"/>
              <i n="[Table1].[Date].&amp;[12-Jun-2026]" c="12-Jun-2026"/>
              <i n="[Table1].[Date].&amp;[12-Mar-2026]" c="12-Mar-2026"/>
              <i n="[Table1].[Date].&amp;[13-Apr-2026]" c="13-Apr-2026"/>
              <i n="[Table1].[Date].&amp;[13-Feb-2026]" c="13-Feb-2026"/>
              <i n="[Table1].[Date].&amp;[13-May-2026]" c="13-May-2026"/>
              <i n="[Table1].[Date].&amp;[14-Feb-2026]" c="14-Feb-2026"/>
              <i n="[Table1].[Date].&amp;[14-Mar-2026]" c="14-Mar-2026"/>
              <i n="[Table1].[Date].&amp;[15-Apr-2026]" c="15-Apr-2026"/>
              <i n="[Table1].[Date].&amp;[15-Feb-2026]" c="15-Feb-2026"/>
              <i n="[Table1].[Date].&amp;[15-Mar-2026]" c="15-Mar-2026"/>
              <i n="[Table1].[Date].&amp;[15-May-2026]" c="15-May-2026"/>
              <i n="[Table1].[Date].&amp;[16-Apr-2026]" c="16-Apr-2026"/>
              <i n="[Table1].[Date].&amp;[16-Feb-2026]" c="16-Feb-2026"/>
              <i n="[Table1].[Date].&amp;[16-Jun-2026]" c="16-Jun-2026"/>
              <i n="[Table1].[Date].&amp;[17-Apr-2026]" c="17-Apr-2026"/>
              <i n="[Table1].[Date].&amp;[17-Feb-2026]" c="17-Feb-2026"/>
              <i n="[Table1].[Date].&amp;[17-Jan-2026]" c="17-Jan-2026"/>
              <i n="[Table1].[Date].&amp;[17-Mar-2026]" c="17-Mar-2026"/>
              <i n="[Table1].[Date].&amp;[18-Feb-2026]" c="18-Feb-2026"/>
              <i n="[Table1].[Date].&amp;[18-May-2026]" c="18-May-2026"/>
              <i n="[Table1].[Date].&amp;[19-Apr-2026]" c="19-Apr-2026"/>
              <i n="[Table1].[Date].&amp;[19-Feb-2026]" c="19-Feb-2026"/>
              <i n="[Table1].[Date].&amp;[19-Jan-2026]" c="19-Jan-2026"/>
              <i n="[Table1].[Date].&amp;[19-Jun-2026]" c="19-Jun-2026"/>
              <i n="[Table1].[Date].&amp;[19-Mar-2026]" c="19-Mar-2026"/>
              <i n="[Table1].[Date].&amp;[20-Jan-2026]" c="20-Jan-2026"/>
              <i n="[Table1].[Date].&amp;[20-Jun-2026]" c="20-Jun-2026"/>
              <i n="[Table1].[Date].&amp;[20-Mar-2026]" c="20-Mar-2026"/>
              <i n="[Table1].[Date].&amp;[20-May-2026]" c="20-May-2026"/>
              <i n="[Table1].[Date].&amp;[21-Apr-2026]" c="21-Apr-2026"/>
              <i n="[Table1].[Date].&amp;[21-Jan-2026]" c="21-Jan-2026"/>
              <i n="[Table1].[Date].&amp;[21-Mar-2026]" c="21-Mar-2026"/>
              <i n="[Table1].[Date].&amp;[22-Apr-2026]" c="22-Apr-2026"/>
              <i n="[Table1].[Date].&amp;[22-Feb-2026]" c="22-Feb-2026"/>
              <i n="[Table1].[Date].&amp;[22-Jan-2026]" c="22-Jan-2026"/>
              <i n="[Table1].[Date].&amp;[22-Jun-2026]" c="22-Jun-2026"/>
              <i n="[Table1].[Date].&amp;[22-Mar-2026]" c="22-Mar-2026"/>
              <i n="[Table1].[Date].&amp;[22-May-2026]" c="22-May-2026"/>
              <i n="[Table1].[Date].&amp;[23-Apr-2026]" c="23-Apr-2026"/>
              <i n="[Table1].[Date].&amp;[23-Feb-2026]" c="23-Feb-2026"/>
              <i n="[Table1].[Date].&amp;[23-Jan-2026]" c="23-Jan-2026"/>
              <i n="[Table1].[Date].&amp;[23-Jun-2026]" c="23-Jun-2026"/>
              <i n="[Table1].[Date].&amp;[23-May-2026]" c="23-May-2026"/>
              <i n="[Table1].[Date].&amp;[24-Apr-2026]" c="24-Apr-2026"/>
              <i n="[Table1].[Date].&amp;[24-Jan-2026]" c="24-Jan-2026"/>
              <i n="[Table1].[Date].&amp;[24-Jun-2026]" c="24-Jun-2026"/>
              <i n="[Table1].[Date].&amp;[24-May-2026]" c="24-May-2026"/>
              <i n="[Table1].[Date].&amp;[25-Apr-2026]" c="25-Apr-2026"/>
              <i n="[Table1].[Date].&amp;[25-Feb-2026]" c="25-Feb-2026"/>
              <i n="[Table1].[Date].&amp;[25-Jan-2026]" c="25-Jan-2026"/>
              <i n="[Table1].[Date].&amp;[25-Jun-2026]" c="25-Jun-2026"/>
              <i n="[Table1].[Date].&amp;[25-Mar-2026]" c="25-Mar-2026"/>
              <i n="[Table1].[Date].&amp;[26-Apr-2026]" c="26-Apr-2026"/>
              <i n="[Table1].[Date].&amp;[26-Jan-2026]" c="26-Jan-2026"/>
              <i n="[Table1].[Date].&amp;[26-May-2026]" c="26-May-2026"/>
              <i n="[Table1].[Date].&amp;[27-Feb-2026]" c="27-Feb-2026"/>
              <i n="[Table1].[Date].&amp;[27-Jun-2026]" c="27-Jun-2026"/>
              <i n="[Table1].[Date].&amp;[27-Mar-2026]" c="27-Mar-2026"/>
              <i n="[Table1].[Date].&amp;[27-May-2026]" c="27-May-2026"/>
              <i n="[Table1].[Date].&amp;[28-Apr-2026]" c="28-Apr-2026"/>
              <i n="[Table1].[Date].&amp;[28-Jan-2026]" c="28-Jan-2026"/>
              <i n="[Table1].[Date].&amp;[28-Jun-2026]" c="28-Jun-2026"/>
              <i n="[Table1].[Date].&amp;[28-Mar-2026]" c="28-Mar-2026"/>
              <i n="[Table1].[Date].&amp;[28-May-2026]" c="28-May-2026"/>
              <i n="[Table1].[Date].&amp;[29-Apr-2026]" c="29-Apr-2026"/>
              <i n="[Table1].[Date].&amp;[29-Jan-2026]" c="29-Jan-2026"/>
              <i n="[Table1].[Date].&amp;[29-Jun-2026]" c="29-Jun-2026"/>
              <i n="[Table1].[Date].&amp;[29-May-2026]" c="29-May-2026"/>
              <i n="[Table1].[Date].&amp;[30-Apr-2026]" c="30-Apr-2026"/>
              <i n="[Table1].[Date].&amp;[30-Jun-2026]" c="30-Jun-2026"/>
              <i n="[Table1].[Date].&amp;[30-May-2026]" c="30-May-2026"/>
              <i n="[Table1].[Date].&amp;[31-Jan-2026]" c="31-Jan-2026"/>
              <i n="[Table1].[Date].&amp;[31-Mar-2026]" c="31-Mar-2026"/>
              <i n="[Table1].[Date].&amp;[31-May-2026]" c="31-May-2026"/>
            </range>
          </ranges>
        </level>
      </levels>
      <selections count="111">
        <selection n="[Table1].[Date].&amp;[01-Apr-2026]"/>
        <selection n="[Table1].[Date].&amp;[01-Jun-2026]"/>
        <selection n="[Table1].[Date].&amp;[02-Apr-2026]"/>
        <selection n="[Table1].[Date].&amp;[02-Feb-2026]"/>
        <selection n="[Table1].[Date].&amp;[02-May-2026]"/>
        <selection n="[Table1].[Date].&amp;[03-Apr-2026]"/>
        <selection n="[Table1].[Date].&amp;[03-Feb-2026]"/>
        <selection n="[Table1].[Date].&amp;[03-Jun-2026]"/>
        <selection n="[Table1].[Date].&amp;[03-Mar-2026]"/>
        <selection n="[Table1].[Date].&amp;[04-Apr-2026]"/>
        <selection n="[Table1].[Date].&amp;[04-Feb-2026]"/>
        <selection n="[Table1].[Date].&amp;[04-Jan-2026]"/>
        <selection n="[Table1].[Date].&amp;[04-Jun-2026]"/>
        <selection n="[Table1].[Date].&amp;[04-May-2026]"/>
        <selection n="[Table1].[Date].&amp;[05-Jan-2026]"/>
        <selection n="[Table1].[Date].&amp;[05-Jun-2026]"/>
        <selection n="[Table1].[Date].&amp;[05-May-2026]"/>
        <selection n="[Table1].[Date].&amp;[06-Apr-2026]"/>
        <selection n="[Table1].[Date].&amp;[06-Feb-2026]"/>
        <selection n="[Table1].[Date].&amp;[06-Jan-2026]"/>
        <selection n="[Table1].[Date].&amp;[06-Mar-2026]"/>
        <selection n="[Table1].[Date].&amp;[07-Apr-2026]"/>
        <selection n="[Table1].[Date].&amp;[07-Jan-2026]"/>
        <selection n="[Table1].[Date].&amp;[07-Jun-2026]"/>
        <selection n="[Table1].[Date].&amp;[07-Mar-2026]"/>
        <selection n="[Table1].[Date].&amp;[07-May-2026]"/>
        <selection n="[Table1].[Date].&amp;[08-Feb-2026]"/>
        <selection n="[Table1].[Date].&amp;[08-Jan-2026]"/>
        <selection n="[Table1].[Date].&amp;[08-Jun-2026]"/>
        <selection n="[Table1].[Date].&amp;[09-Feb-2026]"/>
        <selection n="[Table1].[Date].&amp;[09-Jun-2026]"/>
        <selection n="[Table1].[Date].&amp;[09-Mar-2026]"/>
        <selection n="[Table1].[Date].&amp;[10-Feb-2026]"/>
        <selection n="[Table1].[Date].&amp;[10-Jan-2026]"/>
        <selection n="[Table1].[Date].&amp;[10-Jun-2026]"/>
        <selection n="[Table1].[Date].&amp;[10-Mar-2026]"/>
        <selection n="[Table1].[Date].&amp;[11-Feb-2026]"/>
        <selection n="[Table1].[Date].&amp;[11-Jun-2026]"/>
        <selection n="[Table1].[Date].&amp;[11-Mar-2026]"/>
        <selection n="[Table1].[Date].&amp;[11-May-2026]"/>
        <selection n="[Table1].[Date].&amp;[12-Apr-2026]"/>
        <selection n="[Table1].[Date].&amp;[12-Feb-2026]"/>
        <selection n="[Table1].[Date].&amp;[12-Jun-2026]"/>
        <selection n="[Table1].[Date].&amp;[12-Mar-2026]"/>
        <selection n="[Table1].[Date].&amp;[13-Apr-2026]"/>
        <selection n="[Table1].[Date].&amp;[13-Feb-2026]"/>
        <selection n="[Table1].[Date].&amp;[13-May-2026]"/>
        <selection n="[Table1].[Date].&amp;[14-Feb-2026]"/>
        <selection n="[Table1].[Date].&amp;[14-Mar-2026]"/>
        <selection n="[Table1].[Date].&amp;[15-Apr-2026]"/>
        <selection n="[Table1].[Date].&amp;[15-Feb-2026]"/>
        <selection n="[Table1].[Date].&amp;[15-Mar-2026]"/>
        <selection n="[Table1].[Date].&amp;[15-May-2026]"/>
        <selection n="[Table1].[Date].&amp;[16-Apr-2026]"/>
        <selection n="[Table1].[Date].&amp;[16-Feb-2026]"/>
        <selection n="[Table1].[Date].&amp;[16-Jun-2026]"/>
        <selection n="[Table1].[Date].&amp;[17-Apr-2026]"/>
        <selection n="[Table1].[Date].&amp;[17-Feb-2026]"/>
        <selection n="[Table1].[Date].&amp;[17-Jan-2026]"/>
        <selection n="[Table1].[Date].&amp;[17-Mar-2026]"/>
        <selection n="[Table1].[Date].&amp;[18-Feb-2026]"/>
        <selection n="[Table1].[Date].&amp;[18-May-2026]"/>
        <selection n="[Table1].[Date].&amp;[19-Apr-2026]"/>
        <selection n="[Table1].[Date].&amp;[19-Feb-2026]"/>
        <selection n="[Table1].[Date].&amp;[19-Jan-2026]"/>
        <selection n="[Table1].[Date].&amp;[20-May-2026]"/>
        <selection n="[Table1].[Date].&amp;[21-Apr-2026]"/>
        <selection n="[Table1].[Date].&amp;[21-Jan-2026]"/>
        <selection n="[Table1].[Date].&amp;[21-Mar-2026]"/>
        <selection n="[Table1].[Date].&amp;[22-Apr-2026]"/>
        <selection n="[Table1].[Date].&amp;[22-Feb-2026]"/>
        <selection n="[Table1].[Date].&amp;[22-Jan-2026]"/>
        <selection n="[Table1].[Date].&amp;[22-Jun-2026]"/>
        <selection n="[Table1].[Date].&amp;[22-Mar-2026]"/>
        <selection n="[Table1].[Date].&amp;[22-May-2026]"/>
        <selection n="[Table1].[Date].&amp;[23-Apr-2026]"/>
        <selection n="[Table1].[Date].&amp;[23-Feb-2026]"/>
        <selection n="[Table1].[Date].&amp;[23-Jan-2026]"/>
        <selection n="[Table1].[Date].&amp;[23-Jun-2026]"/>
        <selection n="[Table1].[Date].&amp;[23-May-2026]"/>
        <selection n="[Table1].[Date].&amp;[24-Apr-2026]"/>
        <selection n="[Table1].[Date].&amp;[24-Jan-2026]"/>
        <selection n="[Table1].[Date].&amp;[24-Jun-2026]"/>
        <selection n="[Table1].[Date].&amp;[24-May-2026]"/>
        <selection n="[Table1].[Date].&amp;[25-Apr-2026]"/>
        <selection n="[Table1].[Date].&amp;[25-Feb-2026]"/>
        <selection n="[Table1].[Date].&amp;[25-Jan-2026]"/>
        <selection n="[Table1].[Date].&amp;[25-Jun-2026]"/>
        <selection n="[Table1].[Date].&amp;[25-Mar-2026]"/>
        <selection n="[Table1].[Date].&amp;[26-Apr-2026]"/>
        <selection n="[Table1].[Date].&amp;[26-Jan-2026]"/>
        <selection n="[Table1].[Date].&amp;[26-May-2026]"/>
        <selection n="[Table1].[Date].&amp;[27-Feb-2026]"/>
        <selection n="[Table1].[Date].&amp;[27-Jun-2026]"/>
        <selection n="[Table1].[Date].&amp;[27-Mar-2026]"/>
        <selection n="[Table1].[Date].&amp;[27-May-2026]"/>
        <selection n="[Table1].[Date].&amp;[28-Apr-2026]"/>
        <selection n="[Table1].[Date].&amp;[28-Jan-2026]"/>
        <selection n="[Table1].[Date].&amp;[28-Jun-2026]"/>
        <selection n="[Table1].[Date].&amp;[28-Mar-2026]"/>
        <selection n="[Table1].[Date].&amp;[28-May-2026]"/>
        <selection n="[Table1].[Date].&amp;[29-Apr-2026]"/>
        <selection n="[Table1].[Date].&amp;[29-Jan-2026]"/>
        <selection n="[Table1].[Date].&amp;[29-Jun-2026]"/>
        <selection n="[Table1].[Date].&amp;[29-May-2026]"/>
        <selection n="[Table1].[Date].&amp;[30-Apr-2026]"/>
        <selection n="[Table1].[Date].&amp;[30-Jun-2026]"/>
        <selection n="[Table1].[Date].&amp;[30-May-2026]"/>
        <selection n="[Table1].[Date].&amp;[31-Jan-2026]"/>
        <selection n="[Table1].[Date].&amp;[31-Mar-2026]"/>
        <selection n="[Table1].[Date].&amp;[31-May-202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9000000}" cache="Slicer_Region" caption="Region" level="1" rowHeight="234950"/>
  <slicer name="Category" xr10:uid="{00000000-0014-0000-FFFF-FFFF0A000000}" cache="Slicer_Category" caption="Category" level="1" rowHeight="234950"/>
  <slicer name="Date" xr10:uid="{00000000-0014-0000-FFFF-FFFF0B000000}" cache="Slicer_Date" caption="Dat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0000000-0014-0000-FFFF-FFFF0C000000}" cache="Slicer_Country" caption="Country" level="1" rowHeight="234950"/>
  <slicer name="Country 1" xr10:uid="{00000000-0014-0000-FFFF-FFFF0D000000}" cache="Slicer_Country" caption="Country" level="1" rowHeight="234950"/>
  <slicer name="State" xr10:uid="{00000000-0014-0000-FFFF-FFFF0E000000}" cache="Slicer_State" caption="State" level="1" rowHeight="234950"/>
  <slicer name="City" xr10:uid="{00000000-0014-0000-FFFF-FFFF0F000000}" cache="Slicer_City" caption="City" level="1" rowHeight="234950"/>
  <slicer name="Sub Category" xr10:uid="{00000000-0014-0000-FFFF-FFFF10000000}" cache="Slicer_Sub_Category" caption="Sub Category" level="1" rowHeight="234950"/>
  <slicer name="Payment" xr10:uid="{00000000-0014-0000-FFFF-FFFF11000000}" cache="Slicer_Payment" caption="Payment"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1000000}" cache="Slicer_Region" caption="Region" level="1" rowHeight="234950"/>
  <slicer name="Country 2" xr10:uid="{00000000-0014-0000-FFFF-FFFF02000000}" cache="Slicer_Country" caption="Country" level="1" rowHeight="234950"/>
  <slicer name="State 1" xr10:uid="{00000000-0014-0000-FFFF-FFFF03000000}" cache="Slicer_State" caption="State" level="1" rowHeight="234950"/>
  <slicer name="City 1" xr10:uid="{00000000-0014-0000-FFFF-FFFF04000000}" cache="Slicer_City" caption="City" level="1" rowHeight="234950"/>
  <slicer name="Category 1" xr10:uid="{00000000-0014-0000-FFFF-FFFF05000000}" cache="Slicer_Category" caption="Category" level="1" rowHeight="234950"/>
  <slicer name="Sub Category 1" xr10:uid="{00000000-0014-0000-FFFF-FFFF06000000}" cache="Slicer_Sub_Category" caption="Sub Category" level="1" rowHeight="234950"/>
  <slicer name="Payment 1" xr10:uid="{00000000-0014-0000-FFFF-FFFF07000000}" cache="Slicer_Payment" caption="Payment" level="1" rowHeight="234950"/>
  <slicer name="Date 1" xr10:uid="{00000000-0014-0000-FFFF-FFFF08000000}" cache="Slicer_Date" caption="Dat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202" totalsRowCount="1">
  <autoFilter ref="A1:S201" xr:uid="{00000000-0009-0000-0100-000001000000}"/>
  <tableColumns count="19">
    <tableColumn id="1" xr3:uid="{00000000-0010-0000-0000-000001000000}" name="Bill No" totalsRowFunction="custom">
      <totalsRowFormula>COUNTA(Table1[Bill No])</totalsRowFormula>
    </tableColumn>
    <tableColumn id="2" xr3:uid="{00000000-0010-0000-0000-000002000000}" name="Date"/>
    <tableColumn id="3" xr3:uid="{00000000-0010-0000-0000-000003000000}" name="Customer"/>
    <tableColumn id="4" xr3:uid="{00000000-0010-0000-0000-000004000000}" name="Gender"/>
    <tableColumn id="5" xr3:uid="{00000000-0010-0000-0000-000005000000}" name="Age"/>
    <tableColumn id="6" xr3:uid="{00000000-0010-0000-0000-000006000000}" name="Country"/>
    <tableColumn id="7" xr3:uid="{00000000-0010-0000-0000-000007000000}" name="Region"/>
    <tableColumn id="8" xr3:uid="{00000000-0010-0000-0000-000008000000}" name="State"/>
    <tableColumn id="9" xr3:uid="{00000000-0010-0000-0000-000009000000}" name="City"/>
    <tableColumn id="10" xr3:uid="{00000000-0010-0000-0000-00000A000000}" name="Store"/>
    <tableColumn id="11" xr3:uid="{00000000-0010-0000-0000-00000B000000}" name="Category"/>
    <tableColumn id="12" xr3:uid="{00000000-0010-0000-0000-00000C000000}" name="Sub Category"/>
    <tableColumn id="13" xr3:uid="{00000000-0010-0000-0000-00000D000000}" name="Product"/>
    <tableColumn id="14" xr3:uid="{00000000-0010-0000-0000-00000E000000}" name="Qty" totalsRowFunction="sum"/>
    <tableColumn id="15" xr3:uid="{00000000-0010-0000-0000-00000F000000}" name="Unit Price"/>
    <tableColumn id="16" xr3:uid="{00000000-0010-0000-0000-000010000000}" name="Discount %"/>
    <tableColumn id="17" xr3:uid="{00000000-0010-0000-0000-000011000000}" name="Net Sales" totalsRowFunction="sum" totalsRowDxfId="0"/>
    <tableColumn id="18" xr3:uid="{00000000-0010-0000-0000-000012000000}" name="Payment"/>
    <tableColumn id="19" xr3:uid="{00000000-0010-0000-0000-000013000000}" name="Cashi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3"/>
  <sheetViews>
    <sheetView topLeftCell="A86" workbookViewId="0">
      <selection activeCell="E5" sqref="E5"/>
    </sheetView>
  </sheetViews>
  <sheetFormatPr defaultRowHeight="14.4" x14ac:dyDescent="0.3"/>
  <cols>
    <col min="2" max="2" width="11.88671875" bestFit="1" customWidth="1"/>
    <col min="3" max="3" width="11" customWidth="1"/>
    <col min="4" max="4" width="9" customWidth="1"/>
    <col min="6" max="6" width="9.6640625" customWidth="1"/>
    <col min="8" max="8" width="14.5546875" bestFit="1" customWidth="1"/>
    <col min="9" max="9" width="9.33203125" bestFit="1" customWidth="1"/>
    <col min="10" max="10" width="14.77734375" bestFit="1" customWidth="1"/>
    <col min="11" max="11" width="10.44140625" customWidth="1"/>
    <col min="12" max="12" width="14.109375" customWidth="1"/>
    <col min="13" max="13" width="11.5546875" bestFit="1" customWidth="1"/>
    <col min="15" max="15" width="11" customWidth="1"/>
    <col min="16" max="16" width="12.109375" customWidth="1"/>
    <col min="17" max="17" width="10.5546875" customWidth="1"/>
    <col min="18" max="18" width="10.44140625" customWidth="1"/>
    <col min="19" max="19" width="9"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E2">
        <v>36</v>
      </c>
      <c r="F2" t="s">
        <v>23</v>
      </c>
      <c r="G2" t="s">
        <v>24</v>
      </c>
      <c r="H2" t="s">
        <v>25</v>
      </c>
      <c r="I2" t="s">
        <v>26</v>
      </c>
      <c r="J2" t="s">
        <v>27</v>
      </c>
      <c r="K2" t="s">
        <v>28</v>
      </c>
      <c r="L2" t="s">
        <v>29</v>
      </c>
      <c r="M2" t="s">
        <v>30</v>
      </c>
      <c r="N2">
        <v>2</v>
      </c>
      <c r="O2">
        <v>1200</v>
      </c>
      <c r="P2">
        <v>5</v>
      </c>
      <c r="Q2">
        <v>2280</v>
      </c>
      <c r="R2" t="s">
        <v>31</v>
      </c>
      <c r="S2" t="s">
        <v>32</v>
      </c>
    </row>
    <row r="3" spans="1:19" x14ac:dyDescent="0.3">
      <c r="A3" t="s">
        <v>33</v>
      </c>
      <c r="B3" t="s">
        <v>34</v>
      </c>
      <c r="C3" t="s">
        <v>35</v>
      </c>
      <c r="D3" t="s">
        <v>22</v>
      </c>
      <c r="E3">
        <v>45</v>
      </c>
      <c r="F3" t="s">
        <v>23</v>
      </c>
      <c r="G3" t="s">
        <v>24</v>
      </c>
      <c r="H3" t="s">
        <v>25</v>
      </c>
      <c r="I3" t="s">
        <v>26</v>
      </c>
      <c r="J3" t="s">
        <v>36</v>
      </c>
      <c r="K3" t="s">
        <v>37</v>
      </c>
      <c r="L3" t="s">
        <v>38</v>
      </c>
      <c r="M3" t="s">
        <v>39</v>
      </c>
      <c r="N3">
        <v>5</v>
      </c>
      <c r="O3">
        <v>6500</v>
      </c>
      <c r="P3">
        <v>10</v>
      </c>
      <c r="Q3">
        <v>29250</v>
      </c>
      <c r="R3" t="s">
        <v>40</v>
      </c>
      <c r="S3" t="s">
        <v>32</v>
      </c>
    </row>
    <row r="4" spans="1:19" x14ac:dyDescent="0.3">
      <c r="A4" t="s">
        <v>41</v>
      </c>
      <c r="B4" t="s">
        <v>42</v>
      </c>
      <c r="C4" t="s">
        <v>43</v>
      </c>
      <c r="D4" t="s">
        <v>44</v>
      </c>
      <c r="E4">
        <v>32</v>
      </c>
      <c r="F4" t="s">
        <v>23</v>
      </c>
      <c r="G4" t="s">
        <v>45</v>
      </c>
      <c r="H4" t="s">
        <v>46</v>
      </c>
      <c r="I4" t="s">
        <v>47</v>
      </c>
      <c r="J4" t="s">
        <v>36</v>
      </c>
      <c r="K4" t="s">
        <v>37</v>
      </c>
      <c r="L4" t="s">
        <v>48</v>
      </c>
      <c r="M4" t="s">
        <v>49</v>
      </c>
      <c r="N4">
        <v>3</v>
      </c>
      <c r="O4">
        <v>3500</v>
      </c>
      <c r="P4">
        <v>0</v>
      </c>
      <c r="Q4">
        <v>10500</v>
      </c>
      <c r="R4" t="s">
        <v>40</v>
      </c>
      <c r="S4" t="s">
        <v>50</v>
      </c>
    </row>
    <row r="5" spans="1:19" x14ac:dyDescent="0.3">
      <c r="A5" t="s">
        <v>51</v>
      </c>
      <c r="B5" t="s">
        <v>52</v>
      </c>
      <c r="C5" t="s">
        <v>53</v>
      </c>
      <c r="D5" t="s">
        <v>22</v>
      </c>
      <c r="E5">
        <v>25</v>
      </c>
      <c r="F5" t="s">
        <v>23</v>
      </c>
      <c r="G5" t="s">
        <v>24</v>
      </c>
      <c r="H5" t="s">
        <v>25</v>
      </c>
      <c r="I5" t="s">
        <v>26</v>
      </c>
      <c r="J5" t="s">
        <v>36</v>
      </c>
      <c r="K5" t="s">
        <v>37</v>
      </c>
      <c r="L5" t="s">
        <v>38</v>
      </c>
      <c r="M5" t="s">
        <v>39</v>
      </c>
      <c r="N5">
        <v>2</v>
      </c>
      <c r="O5">
        <v>6500</v>
      </c>
      <c r="P5">
        <v>10</v>
      </c>
      <c r="Q5">
        <v>11700</v>
      </c>
      <c r="R5" t="s">
        <v>54</v>
      </c>
      <c r="S5" t="s">
        <v>50</v>
      </c>
    </row>
    <row r="6" spans="1:19" x14ac:dyDescent="0.3">
      <c r="A6" t="s">
        <v>55</v>
      </c>
      <c r="B6" t="s">
        <v>56</v>
      </c>
      <c r="C6" t="s">
        <v>57</v>
      </c>
      <c r="D6" t="s">
        <v>44</v>
      </c>
      <c r="E6">
        <v>56</v>
      </c>
      <c r="F6" t="s">
        <v>23</v>
      </c>
      <c r="G6" t="s">
        <v>58</v>
      </c>
      <c r="H6" t="s">
        <v>59</v>
      </c>
      <c r="I6" t="s">
        <v>60</v>
      </c>
      <c r="J6" t="s">
        <v>36</v>
      </c>
      <c r="K6" t="s">
        <v>37</v>
      </c>
      <c r="L6" t="s">
        <v>38</v>
      </c>
      <c r="M6" t="s">
        <v>39</v>
      </c>
      <c r="N6">
        <v>1</v>
      </c>
      <c r="O6">
        <v>6500</v>
      </c>
      <c r="P6">
        <v>0</v>
      </c>
      <c r="Q6">
        <v>6500</v>
      </c>
      <c r="R6" t="s">
        <v>61</v>
      </c>
      <c r="S6" t="s">
        <v>32</v>
      </c>
    </row>
    <row r="7" spans="1:19" x14ac:dyDescent="0.3">
      <c r="A7" t="s">
        <v>62</v>
      </c>
      <c r="B7" t="s">
        <v>63</v>
      </c>
      <c r="C7" t="s">
        <v>64</v>
      </c>
      <c r="D7" t="s">
        <v>22</v>
      </c>
      <c r="E7">
        <v>52</v>
      </c>
      <c r="F7" t="s">
        <v>23</v>
      </c>
      <c r="G7" t="s">
        <v>65</v>
      </c>
      <c r="H7" t="s">
        <v>66</v>
      </c>
      <c r="I7" t="s">
        <v>67</v>
      </c>
      <c r="J7" t="s">
        <v>27</v>
      </c>
      <c r="K7" t="s">
        <v>28</v>
      </c>
      <c r="L7" t="s">
        <v>68</v>
      </c>
      <c r="M7" t="s">
        <v>69</v>
      </c>
      <c r="N7">
        <v>3</v>
      </c>
      <c r="O7">
        <v>2500</v>
      </c>
      <c r="P7">
        <v>5</v>
      </c>
      <c r="Q7">
        <v>7125</v>
      </c>
      <c r="R7" t="s">
        <v>31</v>
      </c>
      <c r="S7" t="s">
        <v>70</v>
      </c>
    </row>
    <row r="8" spans="1:19" x14ac:dyDescent="0.3">
      <c r="A8" t="s">
        <v>71</v>
      </c>
      <c r="B8" t="s">
        <v>72</v>
      </c>
      <c r="C8" t="s">
        <v>35</v>
      </c>
      <c r="D8" t="s">
        <v>22</v>
      </c>
      <c r="E8">
        <v>21</v>
      </c>
      <c r="F8" t="s">
        <v>23</v>
      </c>
      <c r="G8" t="s">
        <v>73</v>
      </c>
      <c r="H8" t="s">
        <v>74</v>
      </c>
      <c r="I8" t="s">
        <v>75</v>
      </c>
      <c r="J8" t="s">
        <v>27</v>
      </c>
      <c r="K8" t="s">
        <v>28</v>
      </c>
      <c r="L8" t="s">
        <v>68</v>
      </c>
      <c r="M8" t="s">
        <v>69</v>
      </c>
      <c r="N8">
        <v>2</v>
      </c>
      <c r="O8">
        <v>2500</v>
      </c>
      <c r="P8">
        <v>10</v>
      </c>
      <c r="Q8">
        <v>4500</v>
      </c>
      <c r="R8" t="s">
        <v>31</v>
      </c>
      <c r="S8" t="s">
        <v>32</v>
      </c>
    </row>
    <row r="9" spans="1:19" x14ac:dyDescent="0.3">
      <c r="A9" t="s">
        <v>76</v>
      </c>
      <c r="B9" t="s">
        <v>77</v>
      </c>
      <c r="C9" t="s">
        <v>78</v>
      </c>
      <c r="D9" t="s">
        <v>22</v>
      </c>
      <c r="E9">
        <v>35</v>
      </c>
      <c r="F9" t="s">
        <v>23</v>
      </c>
      <c r="G9" t="s">
        <v>65</v>
      </c>
      <c r="H9" t="s">
        <v>66</v>
      </c>
      <c r="I9" t="s">
        <v>67</v>
      </c>
      <c r="J9" t="s">
        <v>79</v>
      </c>
      <c r="K9" t="s">
        <v>80</v>
      </c>
      <c r="L9" t="s">
        <v>81</v>
      </c>
      <c r="M9" t="s">
        <v>82</v>
      </c>
      <c r="N9">
        <v>3</v>
      </c>
      <c r="O9">
        <v>2800</v>
      </c>
      <c r="P9">
        <v>15</v>
      </c>
      <c r="Q9">
        <v>7140</v>
      </c>
      <c r="R9" t="s">
        <v>61</v>
      </c>
      <c r="S9" t="s">
        <v>21</v>
      </c>
    </row>
    <row r="10" spans="1:19" x14ac:dyDescent="0.3">
      <c r="A10" t="s">
        <v>83</v>
      </c>
      <c r="B10" t="s">
        <v>84</v>
      </c>
      <c r="C10" t="s">
        <v>43</v>
      </c>
      <c r="D10" t="s">
        <v>44</v>
      </c>
      <c r="E10">
        <v>33</v>
      </c>
      <c r="F10" t="s">
        <v>23</v>
      </c>
      <c r="G10" t="s">
        <v>58</v>
      </c>
      <c r="H10" t="s">
        <v>59</v>
      </c>
      <c r="I10" t="s">
        <v>60</v>
      </c>
      <c r="J10" t="s">
        <v>79</v>
      </c>
      <c r="K10" t="s">
        <v>80</v>
      </c>
      <c r="L10" t="s">
        <v>81</v>
      </c>
      <c r="M10" t="s">
        <v>82</v>
      </c>
      <c r="N10">
        <v>5</v>
      </c>
      <c r="O10">
        <v>2800</v>
      </c>
      <c r="P10">
        <v>5</v>
      </c>
      <c r="Q10">
        <v>13300</v>
      </c>
      <c r="R10" t="s">
        <v>31</v>
      </c>
      <c r="S10" t="s">
        <v>70</v>
      </c>
    </row>
    <row r="11" spans="1:19" x14ac:dyDescent="0.3">
      <c r="A11" t="s">
        <v>85</v>
      </c>
      <c r="B11" t="s">
        <v>86</v>
      </c>
      <c r="C11" t="s">
        <v>21</v>
      </c>
      <c r="D11" t="s">
        <v>22</v>
      </c>
      <c r="E11">
        <v>50</v>
      </c>
      <c r="F11" t="s">
        <v>23</v>
      </c>
      <c r="G11" t="s">
        <v>73</v>
      </c>
      <c r="H11" t="s">
        <v>74</v>
      </c>
      <c r="I11" t="s">
        <v>75</v>
      </c>
      <c r="J11" t="s">
        <v>79</v>
      </c>
      <c r="K11" t="s">
        <v>80</v>
      </c>
      <c r="L11" t="s">
        <v>81</v>
      </c>
      <c r="M11" t="s">
        <v>82</v>
      </c>
      <c r="N11">
        <v>4</v>
      </c>
      <c r="O11">
        <v>2800</v>
      </c>
      <c r="P11">
        <v>10</v>
      </c>
      <c r="Q11">
        <v>10080</v>
      </c>
      <c r="R11" t="s">
        <v>61</v>
      </c>
      <c r="S11" t="s">
        <v>21</v>
      </c>
    </row>
    <row r="12" spans="1:19" x14ac:dyDescent="0.3">
      <c r="A12" t="s">
        <v>87</v>
      </c>
      <c r="B12" t="s">
        <v>88</v>
      </c>
      <c r="C12" t="s">
        <v>21</v>
      </c>
      <c r="D12" t="s">
        <v>22</v>
      </c>
      <c r="E12">
        <v>22</v>
      </c>
      <c r="F12" t="s">
        <v>23</v>
      </c>
      <c r="G12" t="s">
        <v>24</v>
      </c>
      <c r="H12" t="s">
        <v>25</v>
      </c>
      <c r="I12" t="s">
        <v>26</v>
      </c>
      <c r="J12" t="s">
        <v>36</v>
      </c>
      <c r="K12" t="s">
        <v>37</v>
      </c>
      <c r="L12" t="s">
        <v>48</v>
      </c>
      <c r="M12" t="s">
        <v>49</v>
      </c>
      <c r="N12">
        <v>3</v>
      </c>
      <c r="O12">
        <v>3500</v>
      </c>
      <c r="P12">
        <v>0</v>
      </c>
      <c r="Q12">
        <v>10500</v>
      </c>
      <c r="R12" t="s">
        <v>61</v>
      </c>
      <c r="S12" t="s">
        <v>70</v>
      </c>
    </row>
    <row r="13" spans="1:19" x14ac:dyDescent="0.3">
      <c r="A13" t="s">
        <v>89</v>
      </c>
      <c r="B13" t="s">
        <v>20</v>
      </c>
      <c r="C13" t="s">
        <v>50</v>
      </c>
      <c r="D13" t="s">
        <v>44</v>
      </c>
      <c r="E13">
        <v>41</v>
      </c>
      <c r="F13" t="s">
        <v>23</v>
      </c>
      <c r="G13" t="s">
        <v>65</v>
      </c>
      <c r="H13" t="s">
        <v>66</v>
      </c>
      <c r="I13" t="s">
        <v>67</v>
      </c>
      <c r="J13" t="s">
        <v>90</v>
      </c>
      <c r="K13" t="s">
        <v>91</v>
      </c>
      <c r="L13" t="s">
        <v>92</v>
      </c>
      <c r="M13" t="s">
        <v>93</v>
      </c>
      <c r="N13">
        <v>3</v>
      </c>
      <c r="O13">
        <v>450</v>
      </c>
      <c r="P13">
        <v>15</v>
      </c>
      <c r="Q13">
        <v>1147.5</v>
      </c>
      <c r="R13" t="s">
        <v>54</v>
      </c>
      <c r="S13" t="s">
        <v>21</v>
      </c>
    </row>
    <row r="14" spans="1:19" x14ac:dyDescent="0.3">
      <c r="A14" t="s">
        <v>94</v>
      </c>
      <c r="B14" t="s">
        <v>95</v>
      </c>
      <c r="C14" t="s">
        <v>21</v>
      </c>
      <c r="D14" t="s">
        <v>44</v>
      </c>
      <c r="E14">
        <v>22</v>
      </c>
      <c r="F14" t="s">
        <v>23</v>
      </c>
      <c r="G14" t="s">
        <v>45</v>
      </c>
      <c r="H14" t="s">
        <v>46</v>
      </c>
      <c r="I14" t="s">
        <v>47</v>
      </c>
      <c r="J14" t="s">
        <v>90</v>
      </c>
      <c r="K14" t="s">
        <v>91</v>
      </c>
      <c r="L14" t="s">
        <v>92</v>
      </c>
      <c r="M14" t="s">
        <v>93</v>
      </c>
      <c r="N14">
        <v>2</v>
      </c>
      <c r="O14">
        <v>450</v>
      </c>
      <c r="P14">
        <v>5</v>
      </c>
      <c r="Q14">
        <v>855</v>
      </c>
      <c r="R14" t="s">
        <v>31</v>
      </c>
      <c r="S14" t="s">
        <v>70</v>
      </c>
    </row>
    <row r="15" spans="1:19" x14ac:dyDescent="0.3">
      <c r="A15" t="s">
        <v>96</v>
      </c>
      <c r="B15" t="s">
        <v>97</v>
      </c>
      <c r="C15" t="s">
        <v>50</v>
      </c>
      <c r="D15" t="s">
        <v>44</v>
      </c>
      <c r="E15">
        <v>32</v>
      </c>
      <c r="F15" t="s">
        <v>23</v>
      </c>
      <c r="G15" t="s">
        <v>65</v>
      </c>
      <c r="H15" t="s">
        <v>66</v>
      </c>
      <c r="I15" t="s">
        <v>67</v>
      </c>
      <c r="J15" t="s">
        <v>90</v>
      </c>
      <c r="K15" t="s">
        <v>91</v>
      </c>
      <c r="L15" t="s">
        <v>92</v>
      </c>
      <c r="M15" t="s">
        <v>93</v>
      </c>
      <c r="N15">
        <v>3</v>
      </c>
      <c r="O15">
        <v>450</v>
      </c>
      <c r="P15">
        <v>10</v>
      </c>
      <c r="Q15">
        <v>1215</v>
      </c>
      <c r="R15" t="s">
        <v>61</v>
      </c>
      <c r="S15" t="s">
        <v>50</v>
      </c>
    </row>
    <row r="16" spans="1:19" x14ac:dyDescent="0.3">
      <c r="A16" t="s">
        <v>98</v>
      </c>
      <c r="B16" t="s">
        <v>99</v>
      </c>
      <c r="C16" t="s">
        <v>35</v>
      </c>
      <c r="D16" t="s">
        <v>44</v>
      </c>
      <c r="E16">
        <v>30</v>
      </c>
      <c r="F16" t="s">
        <v>23</v>
      </c>
      <c r="G16" t="s">
        <v>58</v>
      </c>
      <c r="H16" t="s">
        <v>59</v>
      </c>
      <c r="I16" t="s">
        <v>60</v>
      </c>
      <c r="J16" t="s">
        <v>36</v>
      </c>
      <c r="K16" t="s">
        <v>37</v>
      </c>
      <c r="L16" t="s">
        <v>48</v>
      </c>
      <c r="M16" t="s">
        <v>49</v>
      </c>
      <c r="N16">
        <v>4</v>
      </c>
      <c r="O16">
        <v>3500</v>
      </c>
      <c r="P16">
        <v>15</v>
      </c>
      <c r="Q16">
        <v>11900</v>
      </c>
      <c r="R16" t="s">
        <v>40</v>
      </c>
      <c r="S16" t="s">
        <v>50</v>
      </c>
    </row>
    <row r="17" spans="1:19" x14ac:dyDescent="0.3">
      <c r="A17" t="s">
        <v>100</v>
      </c>
      <c r="B17" t="s">
        <v>101</v>
      </c>
      <c r="C17" t="s">
        <v>102</v>
      </c>
      <c r="D17" t="s">
        <v>22</v>
      </c>
      <c r="E17">
        <v>49</v>
      </c>
      <c r="F17" t="s">
        <v>23</v>
      </c>
      <c r="G17" t="s">
        <v>73</v>
      </c>
      <c r="H17" t="s">
        <v>74</v>
      </c>
      <c r="I17" t="s">
        <v>75</v>
      </c>
      <c r="J17" t="s">
        <v>36</v>
      </c>
      <c r="K17" t="s">
        <v>37</v>
      </c>
      <c r="L17" t="s">
        <v>48</v>
      </c>
      <c r="M17" t="s">
        <v>49</v>
      </c>
      <c r="N17">
        <v>5</v>
      </c>
      <c r="O17">
        <v>3500</v>
      </c>
      <c r="P17">
        <v>5</v>
      </c>
      <c r="Q17">
        <v>16625</v>
      </c>
      <c r="R17" t="s">
        <v>31</v>
      </c>
      <c r="S17" t="s">
        <v>21</v>
      </c>
    </row>
    <row r="18" spans="1:19" x14ac:dyDescent="0.3">
      <c r="A18" t="s">
        <v>103</v>
      </c>
      <c r="B18" t="s">
        <v>104</v>
      </c>
      <c r="C18" t="s">
        <v>105</v>
      </c>
      <c r="D18" t="s">
        <v>44</v>
      </c>
      <c r="E18">
        <v>40</v>
      </c>
      <c r="F18" t="s">
        <v>23</v>
      </c>
      <c r="G18" t="s">
        <v>45</v>
      </c>
      <c r="H18" t="s">
        <v>46</v>
      </c>
      <c r="I18" t="s">
        <v>47</v>
      </c>
      <c r="J18" t="s">
        <v>90</v>
      </c>
      <c r="K18" t="s">
        <v>91</v>
      </c>
      <c r="L18" t="s">
        <v>92</v>
      </c>
      <c r="M18" t="s">
        <v>93</v>
      </c>
      <c r="N18">
        <v>5</v>
      </c>
      <c r="O18">
        <v>450</v>
      </c>
      <c r="P18">
        <v>5</v>
      </c>
      <c r="Q18">
        <v>2137.5</v>
      </c>
      <c r="R18" t="s">
        <v>31</v>
      </c>
      <c r="S18" t="s">
        <v>50</v>
      </c>
    </row>
    <row r="19" spans="1:19" x14ac:dyDescent="0.3">
      <c r="A19" t="s">
        <v>106</v>
      </c>
      <c r="B19" t="s">
        <v>72</v>
      </c>
      <c r="C19" t="s">
        <v>57</v>
      </c>
      <c r="D19" t="s">
        <v>22</v>
      </c>
      <c r="E19">
        <v>54</v>
      </c>
      <c r="F19" t="s">
        <v>23</v>
      </c>
      <c r="G19" t="s">
        <v>45</v>
      </c>
      <c r="H19" t="s">
        <v>46</v>
      </c>
      <c r="I19" t="s">
        <v>47</v>
      </c>
      <c r="J19" t="s">
        <v>79</v>
      </c>
      <c r="K19" t="s">
        <v>80</v>
      </c>
      <c r="L19" t="s">
        <v>81</v>
      </c>
      <c r="M19" t="s">
        <v>82</v>
      </c>
      <c r="N19">
        <v>5</v>
      </c>
      <c r="O19">
        <v>2800</v>
      </c>
      <c r="P19">
        <v>0</v>
      </c>
      <c r="Q19">
        <v>14000</v>
      </c>
      <c r="R19" t="s">
        <v>31</v>
      </c>
      <c r="S19" t="s">
        <v>21</v>
      </c>
    </row>
    <row r="20" spans="1:19" x14ac:dyDescent="0.3">
      <c r="A20" t="s">
        <v>107</v>
      </c>
      <c r="B20" t="s">
        <v>108</v>
      </c>
      <c r="C20" t="s">
        <v>21</v>
      </c>
      <c r="D20" t="s">
        <v>44</v>
      </c>
      <c r="E20">
        <v>54</v>
      </c>
      <c r="F20" t="s">
        <v>23</v>
      </c>
      <c r="G20" t="s">
        <v>24</v>
      </c>
      <c r="H20" t="s">
        <v>25</v>
      </c>
      <c r="I20" t="s">
        <v>26</v>
      </c>
      <c r="J20" t="s">
        <v>90</v>
      </c>
      <c r="K20" t="s">
        <v>91</v>
      </c>
      <c r="L20" t="s">
        <v>92</v>
      </c>
      <c r="M20" t="s">
        <v>93</v>
      </c>
      <c r="N20">
        <v>5</v>
      </c>
      <c r="O20">
        <v>450</v>
      </c>
      <c r="P20">
        <v>10</v>
      </c>
      <c r="Q20">
        <v>2025</v>
      </c>
      <c r="R20" t="s">
        <v>61</v>
      </c>
      <c r="S20" t="s">
        <v>70</v>
      </c>
    </row>
    <row r="21" spans="1:19" x14ac:dyDescent="0.3">
      <c r="A21" t="s">
        <v>109</v>
      </c>
      <c r="B21" t="s">
        <v>110</v>
      </c>
      <c r="C21" t="s">
        <v>64</v>
      </c>
      <c r="D21" t="s">
        <v>44</v>
      </c>
      <c r="E21">
        <v>36</v>
      </c>
      <c r="F21" t="s">
        <v>23</v>
      </c>
      <c r="G21" t="s">
        <v>73</v>
      </c>
      <c r="H21" t="s">
        <v>74</v>
      </c>
      <c r="I21" t="s">
        <v>75</v>
      </c>
      <c r="J21" t="s">
        <v>36</v>
      </c>
      <c r="K21" t="s">
        <v>37</v>
      </c>
      <c r="L21" t="s">
        <v>38</v>
      </c>
      <c r="M21" t="s">
        <v>39</v>
      </c>
      <c r="N21">
        <v>3</v>
      </c>
      <c r="O21">
        <v>6500</v>
      </c>
      <c r="P21">
        <v>15</v>
      </c>
      <c r="Q21">
        <v>16575</v>
      </c>
      <c r="R21" t="s">
        <v>40</v>
      </c>
      <c r="S21" t="s">
        <v>70</v>
      </c>
    </row>
    <row r="22" spans="1:19" x14ac:dyDescent="0.3">
      <c r="A22" t="s">
        <v>111</v>
      </c>
      <c r="B22" t="s">
        <v>112</v>
      </c>
      <c r="C22" t="s">
        <v>43</v>
      </c>
      <c r="D22" t="s">
        <v>22</v>
      </c>
      <c r="E22">
        <v>18</v>
      </c>
      <c r="F22" t="s">
        <v>23</v>
      </c>
      <c r="G22" t="s">
        <v>73</v>
      </c>
      <c r="H22" t="s">
        <v>74</v>
      </c>
      <c r="I22" t="s">
        <v>75</v>
      </c>
      <c r="J22" t="s">
        <v>36</v>
      </c>
      <c r="K22" t="s">
        <v>37</v>
      </c>
      <c r="L22" t="s">
        <v>38</v>
      </c>
      <c r="M22" t="s">
        <v>39</v>
      </c>
      <c r="N22">
        <v>4</v>
      </c>
      <c r="O22">
        <v>6500</v>
      </c>
      <c r="P22">
        <v>10</v>
      </c>
      <c r="Q22">
        <v>23400</v>
      </c>
      <c r="R22" t="s">
        <v>31</v>
      </c>
      <c r="S22" t="s">
        <v>50</v>
      </c>
    </row>
    <row r="23" spans="1:19" x14ac:dyDescent="0.3">
      <c r="A23" t="s">
        <v>113</v>
      </c>
      <c r="B23" t="s">
        <v>114</v>
      </c>
      <c r="C23" t="s">
        <v>102</v>
      </c>
      <c r="D23" t="s">
        <v>44</v>
      </c>
      <c r="E23">
        <v>21</v>
      </c>
      <c r="F23" t="s">
        <v>23</v>
      </c>
      <c r="G23" t="s">
        <v>73</v>
      </c>
      <c r="H23" t="s">
        <v>74</v>
      </c>
      <c r="I23" t="s">
        <v>75</v>
      </c>
      <c r="J23" t="s">
        <v>27</v>
      </c>
      <c r="K23" t="s">
        <v>28</v>
      </c>
      <c r="L23" t="s">
        <v>68</v>
      </c>
      <c r="M23" t="s">
        <v>69</v>
      </c>
      <c r="N23">
        <v>4</v>
      </c>
      <c r="O23">
        <v>2500</v>
      </c>
      <c r="P23">
        <v>5</v>
      </c>
      <c r="Q23">
        <v>9500</v>
      </c>
      <c r="R23" t="s">
        <v>61</v>
      </c>
      <c r="S23" t="s">
        <v>32</v>
      </c>
    </row>
    <row r="24" spans="1:19" x14ac:dyDescent="0.3">
      <c r="A24" t="s">
        <v>115</v>
      </c>
      <c r="B24" t="s">
        <v>116</v>
      </c>
      <c r="C24" t="s">
        <v>43</v>
      </c>
      <c r="D24" t="s">
        <v>22</v>
      </c>
      <c r="E24">
        <v>32</v>
      </c>
      <c r="F24" t="s">
        <v>23</v>
      </c>
      <c r="G24" t="s">
        <v>65</v>
      </c>
      <c r="H24" t="s">
        <v>66</v>
      </c>
      <c r="I24" t="s">
        <v>67</v>
      </c>
      <c r="J24" t="s">
        <v>36</v>
      </c>
      <c r="K24" t="s">
        <v>37</v>
      </c>
      <c r="L24" t="s">
        <v>38</v>
      </c>
      <c r="M24" t="s">
        <v>39</v>
      </c>
      <c r="N24">
        <v>4</v>
      </c>
      <c r="O24">
        <v>6500</v>
      </c>
      <c r="P24">
        <v>5</v>
      </c>
      <c r="Q24">
        <v>24700</v>
      </c>
      <c r="R24" t="s">
        <v>40</v>
      </c>
      <c r="S24" t="s">
        <v>32</v>
      </c>
    </row>
    <row r="25" spans="1:19" x14ac:dyDescent="0.3">
      <c r="A25" t="s">
        <v>117</v>
      </c>
      <c r="B25" t="s">
        <v>118</v>
      </c>
      <c r="C25" t="s">
        <v>43</v>
      </c>
      <c r="D25" t="s">
        <v>22</v>
      </c>
      <c r="E25">
        <v>47</v>
      </c>
      <c r="F25" t="s">
        <v>23</v>
      </c>
      <c r="G25" t="s">
        <v>73</v>
      </c>
      <c r="H25" t="s">
        <v>74</v>
      </c>
      <c r="I25" t="s">
        <v>75</v>
      </c>
      <c r="J25" t="s">
        <v>90</v>
      </c>
      <c r="K25" t="s">
        <v>91</v>
      </c>
      <c r="L25" t="s">
        <v>92</v>
      </c>
      <c r="M25" t="s">
        <v>93</v>
      </c>
      <c r="N25">
        <v>3</v>
      </c>
      <c r="O25">
        <v>450</v>
      </c>
      <c r="P25">
        <v>10</v>
      </c>
      <c r="Q25">
        <v>1215</v>
      </c>
      <c r="R25" t="s">
        <v>40</v>
      </c>
      <c r="S25" t="s">
        <v>70</v>
      </c>
    </row>
    <row r="26" spans="1:19" x14ac:dyDescent="0.3">
      <c r="A26" t="s">
        <v>119</v>
      </c>
      <c r="B26" t="s">
        <v>120</v>
      </c>
      <c r="C26" t="s">
        <v>57</v>
      </c>
      <c r="D26" t="s">
        <v>44</v>
      </c>
      <c r="E26">
        <v>48</v>
      </c>
      <c r="F26" t="s">
        <v>23</v>
      </c>
      <c r="G26" t="s">
        <v>73</v>
      </c>
      <c r="H26" t="s">
        <v>74</v>
      </c>
      <c r="I26" t="s">
        <v>75</v>
      </c>
      <c r="J26" t="s">
        <v>36</v>
      </c>
      <c r="K26" t="s">
        <v>37</v>
      </c>
      <c r="L26" t="s">
        <v>38</v>
      </c>
      <c r="M26" t="s">
        <v>39</v>
      </c>
      <c r="N26">
        <v>2</v>
      </c>
      <c r="O26">
        <v>6500</v>
      </c>
      <c r="P26">
        <v>15</v>
      </c>
      <c r="Q26">
        <v>11050</v>
      </c>
      <c r="R26" t="s">
        <v>40</v>
      </c>
      <c r="S26" t="s">
        <v>32</v>
      </c>
    </row>
    <row r="27" spans="1:19" x14ac:dyDescent="0.3">
      <c r="A27" t="s">
        <v>121</v>
      </c>
      <c r="B27" t="s">
        <v>122</v>
      </c>
      <c r="C27" t="s">
        <v>53</v>
      </c>
      <c r="D27" t="s">
        <v>22</v>
      </c>
      <c r="E27">
        <v>26</v>
      </c>
      <c r="F27" t="s">
        <v>23</v>
      </c>
      <c r="G27" t="s">
        <v>58</v>
      </c>
      <c r="H27" t="s">
        <v>59</v>
      </c>
      <c r="I27" t="s">
        <v>60</v>
      </c>
      <c r="J27" t="s">
        <v>27</v>
      </c>
      <c r="K27" t="s">
        <v>28</v>
      </c>
      <c r="L27" t="s">
        <v>29</v>
      </c>
      <c r="M27" t="s">
        <v>30</v>
      </c>
      <c r="N27">
        <v>2</v>
      </c>
      <c r="O27">
        <v>1200</v>
      </c>
      <c r="P27">
        <v>10</v>
      </c>
      <c r="Q27">
        <v>2160</v>
      </c>
      <c r="R27" t="s">
        <v>54</v>
      </c>
      <c r="S27" t="s">
        <v>21</v>
      </c>
    </row>
    <row r="28" spans="1:19" x14ac:dyDescent="0.3">
      <c r="A28" t="s">
        <v>123</v>
      </c>
      <c r="B28" t="s">
        <v>124</v>
      </c>
      <c r="C28" t="s">
        <v>105</v>
      </c>
      <c r="D28" t="s">
        <v>22</v>
      </c>
      <c r="E28">
        <v>29</v>
      </c>
      <c r="F28" t="s">
        <v>23</v>
      </c>
      <c r="G28" t="s">
        <v>73</v>
      </c>
      <c r="H28" t="s">
        <v>74</v>
      </c>
      <c r="I28" t="s">
        <v>75</v>
      </c>
      <c r="J28" t="s">
        <v>27</v>
      </c>
      <c r="K28" t="s">
        <v>28</v>
      </c>
      <c r="L28" t="s">
        <v>29</v>
      </c>
      <c r="M28" t="s">
        <v>30</v>
      </c>
      <c r="N28">
        <v>3</v>
      </c>
      <c r="O28">
        <v>1200</v>
      </c>
      <c r="P28">
        <v>15</v>
      </c>
      <c r="Q28">
        <v>3060</v>
      </c>
      <c r="R28" t="s">
        <v>40</v>
      </c>
      <c r="S28" t="s">
        <v>32</v>
      </c>
    </row>
    <row r="29" spans="1:19" x14ac:dyDescent="0.3">
      <c r="A29" t="s">
        <v>125</v>
      </c>
      <c r="B29" t="s">
        <v>126</v>
      </c>
      <c r="C29" t="s">
        <v>50</v>
      </c>
      <c r="D29" t="s">
        <v>44</v>
      </c>
      <c r="E29">
        <v>50</v>
      </c>
      <c r="F29" t="s">
        <v>23</v>
      </c>
      <c r="G29" t="s">
        <v>58</v>
      </c>
      <c r="H29" t="s">
        <v>59</v>
      </c>
      <c r="I29" t="s">
        <v>60</v>
      </c>
      <c r="J29" t="s">
        <v>27</v>
      </c>
      <c r="K29" t="s">
        <v>28</v>
      </c>
      <c r="L29" t="s">
        <v>29</v>
      </c>
      <c r="M29" t="s">
        <v>30</v>
      </c>
      <c r="N29">
        <v>4</v>
      </c>
      <c r="O29">
        <v>1200</v>
      </c>
      <c r="P29">
        <v>10</v>
      </c>
      <c r="Q29">
        <v>4320</v>
      </c>
      <c r="R29" t="s">
        <v>61</v>
      </c>
      <c r="S29" t="s">
        <v>70</v>
      </c>
    </row>
    <row r="30" spans="1:19" x14ac:dyDescent="0.3">
      <c r="A30" t="s">
        <v>127</v>
      </c>
      <c r="B30" t="s">
        <v>128</v>
      </c>
      <c r="C30" t="s">
        <v>53</v>
      </c>
      <c r="D30" t="s">
        <v>22</v>
      </c>
      <c r="E30">
        <v>57</v>
      </c>
      <c r="F30" t="s">
        <v>23</v>
      </c>
      <c r="G30" t="s">
        <v>58</v>
      </c>
      <c r="H30" t="s">
        <v>59</v>
      </c>
      <c r="I30" t="s">
        <v>60</v>
      </c>
      <c r="J30" t="s">
        <v>36</v>
      </c>
      <c r="K30" t="s">
        <v>37</v>
      </c>
      <c r="L30" t="s">
        <v>38</v>
      </c>
      <c r="M30" t="s">
        <v>39</v>
      </c>
      <c r="N30">
        <v>1</v>
      </c>
      <c r="O30">
        <v>6500</v>
      </c>
      <c r="P30">
        <v>15</v>
      </c>
      <c r="Q30">
        <v>5525</v>
      </c>
      <c r="R30" t="s">
        <v>54</v>
      </c>
      <c r="S30" t="s">
        <v>32</v>
      </c>
    </row>
    <row r="31" spans="1:19" x14ac:dyDescent="0.3">
      <c r="A31" t="s">
        <v>129</v>
      </c>
      <c r="B31" t="s">
        <v>130</v>
      </c>
      <c r="C31" t="s">
        <v>102</v>
      </c>
      <c r="D31" t="s">
        <v>22</v>
      </c>
      <c r="E31">
        <v>26</v>
      </c>
      <c r="F31" t="s">
        <v>23</v>
      </c>
      <c r="G31" t="s">
        <v>45</v>
      </c>
      <c r="H31" t="s">
        <v>46</v>
      </c>
      <c r="I31" t="s">
        <v>47</v>
      </c>
      <c r="J31" t="s">
        <v>27</v>
      </c>
      <c r="K31" t="s">
        <v>28</v>
      </c>
      <c r="L31" t="s">
        <v>29</v>
      </c>
      <c r="M31" t="s">
        <v>30</v>
      </c>
      <c r="N31">
        <v>4</v>
      </c>
      <c r="O31">
        <v>1200</v>
      </c>
      <c r="P31">
        <v>0</v>
      </c>
      <c r="Q31">
        <v>4800</v>
      </c>
      <c r="R31" t="s">
        <v>54</v>
      </c>
      <c r="S31" t="s">
        <v>32</v>
      </c>
    </row>
    <row r="32" spans="1:19" x14ac:dyDescent="0.3">
      <c r="A32" t="s">
        <v>131</v>
      </c>
      <c r="B32" t="s">
        <v>132</v>
      </c>
      <c r="C32" t="s">
        <v>102</v>
      </c>
      <c r="D32" t="s">
        <v>22</v>
      </c>
      <c r="E32">
        <v>39</v>
      </c>
      <c r="F32" t="s">
        <v>23</v>
      </c>
      <c r="G32" t="s">
        <v>58</v>
      </c>
      <c r="H32" t="s">
        <v>59</v>
      </c>
      <c r="I32" t="s">
        <v>60</v>
      </c>
      <c r="J32" t="s">
        <v>27</v>
      </c>
      <c r="K32" t="s">
        <v>28</v>
      </c>
      <c r="L32" t="s">
        <v>29</v>
      </c>
      <c r="M32" t="s">
        <v>30</v>
      </c>
      <c r="N32">
        <v>2</v>
      </c>
      <c r="O32">
        <v>1200</v>
      </c>
      <c r="P32">
        <v>10</v>
      </c>
      <c r="Q32">
        <v>2160</v>
      </c>
      <c r="R32" t="s">
        <v>31</v>
      </c>
      <c r="S32" t="s">
        <v>32</v>
      </c>
    </row>
    <row r="33" spans="1:19" x14ac:dyDescent="0.3">
      <c r="A33" t="s">
        <v>133</v>
      </c>
      <c r="B33" t="s">
        <v>134</v>
      </c>
      <c r="C33" t="s">
        <v>53</v>
      </c>
      <c r="D33" t="s">
        <v>22</v>
      </c>
      <c r="E33">
        <v>51</v>
      </c>
      <c r="F33" t="s">
        <v>23</v>
      </c>
      <c r="G33" t="s">
        <v>24</v>
      </c>
      <c r="H33" t="s">
        <v>25</v>
      </c>
      <c r="I33" t="s">
        <v>26</v>
      </c>
      <c r="J33" t="s">
        <v>36</v>
      </c>
      <c r="K33" t="s">
        <v>37</v>
      </c>
      <c r="L33" t="s">
        <v>38</v>
      </c>
      <c r="M33" t="s">
        <v>39</v>
      </c>
      <c r="N33">
        <v>1</v>
      </c>
      <c r="O33">
        <v>6500</v>
      </c>
      <c r="P33">
        <v>0</v>
      </c>
      <c r="Q33">
        <v>6500</v>
      </c>
      <c r="R33" t="s">
        <v>40</v>
      </c>
      <c r="S33" t="s">
        <v>32</v>
      </c>
    </row>
    <row r="34" spans="1:19" x14ac:dyDescent="0.3">
      <c r="A34" t="s">
        <v>135</v>
      </c>
      <c r="B34" t="s">
        <v>136</v>
      </c>
      <c r="C34" t="s">
        <v>35</v>
      </c>
      <c r="D34" t="s">
        <v>44</v>
      </c>
      <c r="E34">
        <v>20</v>
      </c>
      <c r="F34" t="s">
        <v>23</v>
      </c>
      <c r="G34" t="s">
        <v>24</v>
      </c>
      <c r="H34" t="s">
        <v>25</v>
      </c>
      <c r="I34" t="s">
        <v>26</v>
      </c>
      <c r="J34" t="s">
        <v>27</v>
      </c>
      <c r="K34" t="s">
        <v>28</v>
      </c>
      <c r="L34" t="s">
        <v>29</v>
      </c>
      <c r="M34" t="s">
        <v>30</v>
      </c>
      <c r="N34">
        <v>3</v>
      </c>
      <c r="O34">
        <v>1200</v>
      </c>
      <c r="P34">
        <v>0</v>
      </c>
      <c r="Q34">
        <v>3600</v>
      </c>
      <c r="R34" t="s">
        <v>31</v>
      </c>
      <c r="S34" t="s">
        <v>50</v>
      </c>
    </row>
    <row r="35" spans="1:19" x14ac:dyDescent="0.3">
      <c r="A35" t="s">
        <v>137</v>
      </c>
      <c r="B35" t="s">
        <v>138</v>
      </c>
      <c r="C35" t="s">
        <v>102</v>
      </c>
      <c r="D35" t="s">
        <v>22</v>
      </c>
      <c r="E35">
        <v>30</v>
      </c>
      <c r="F35" t="s">
        <v>23</v>
      </c>
      <c r="G35" t="s">
        <v>58</v>
      </c>
      <c r="H35" t="s">
        <v>59</v>
      </c>
      <c r="I35" t="s">
        <v>60</v>
      </c>
      <c r="J35" t="s">
        <v>36</v>
      </c>
      <c r="K35" t="s">
        <v>37</v>
      </c>
      <c r="L35" t="s">
        <v>38</v>
      </c>
      <c r="M35" t="s">
        <v>39</v>
      </c>
      <c r="N35">
        <v>1</v>
      </c>
      <c r="O35">
        <v>6500</v>
      </c>
      <c r="P35">
        <v>10</v>
      </c>
      <c r="Q35">
        <v>5850</v>
      </c>
      <c r="R35" t="s">
        <v>54</v>
      </c>
      <c r="S35" t="s">
        <v>70</v>
      </c>
    </row>
    <row r="36" spans="1:19" x14ac:dyDescent="0.3">
      <c r="A36" t="s">
        <v>139</v>
      </c>
      <c r="B36" t="s">
        <v>140</v>
      </c>
      <c r="C36" t="s">
        <v>35</v>
      </c>
      <c r="D36" t="s">
        <v>22</v>
      </c>
      <c r="E36">
        <v>54</v>
      </c>
      <c r="F36" t="s">
        <v>23</v>
      </c>
      <c r="G36" t="s">
        <v>65</v>
      </c>
      <c r="H36" t="s">
        <v>66</v>
      </c>
      <c r="I36" t="s">
        <v>67</v>
      </c>
      <c r="J36" t="s">
        <v>79</v>
      </c>
      <c r="K36" t="s">
        <v>80</v>
      </c>
      <c r="L36" t="s">
        <v>81</v>
      </c>
      <c r="M36" t="s">
        <v>82</v>
      </c>
      <c r="N36">
        <v>1</v>
      </c>
      <c r="O36">
        <v>2800</v>
      </c>
      <c r="P36">
        <v>15</v>
      </c>
      <c r="Q36">
        <v>2380</v>
      </c>
      <c r="R36" t="s">
        <v>61</v>
      </c>
      <c r="S36" t="s">
        <v>32</v>
      </c>
    </row>
    <row r="37" spans="1:19" x14ac:dyDescent="0.3">
      <c r="A37" t="s">
        <v>141</v>
      </c>
      <c r="B37" t="s">
        <v>142</v>
      </c>
      <c r="C37" t="s">
        <v>50</v>
      </c>
      <c r="D37" t="s">
        <v>44</v>
      </c>
      <c r="E37">
        <v>33</v>
      </c>
      <c r="F37" t="s">
        <v>23</v>
      </c>
      <c r="G37" t="s">
        <v>73</v>
      </c>
      <c r="H37" t="s">
        <v>74</v>
      </c>
      <c r="I37" t="s">
        <v>75</v>
      </c>
      <c r="J37" t="s">
        <v>79</v>
      </c>
      <c r="K37" t="s">
        <v>80</v>
      </c>
      <c r="L37" t="s">
        <v>81</v>
      </c>
      <c r="M37" t="s">
        <v>82</v>
      </c>
      <c r="N37">
        <v>1</v>
      </c>
      <c r="O37">
        <v>2800</v>
      </c>
      <c r="P37">
        <v>15</v>
      </c>
      <c r="Q37">
        <v>2380</v>
      </c>
      <c r="R37" t="s">
        <v>54</v>
      </c>
      <c r="S37" t="s">
        <v>21</v>
      </c>
    </row>
    <row r="38" spans="1:19" x14ac:dyDescent="0.3">
      <c r="A38" t="s">
        <v>143</v>
      </c>
      <c r="B38" t="s">
        <v>144</v>
      </c>
      <c r="C38" t="s">
        <v>35</v>
      </c>
      <c r="D38" t="s">
        <v>44</v>
      </c>
      <c r="E38">
        <v>19</v>
      </c>
      <c r="F38" t="s">
        <v>23</v>
      </c>
      <c r="G38" t="s">
        <v>58</v>
      </c>
      <c r="H38" t="s">
        <v>59</v>
      </c>
      <c r="I38" t="s">
        <v>60</v>
      </c>
      <c r="J38" t="s">
        <v>79</v>
      </c>
      <c r="K38" t="s">
        <v>80</v>
      </c>
      <c r="L38" t="s">
        <v>81</v>
      </c>
      <c r="M38" t="s">
        <v>82</v>
      </c>
      <c r="N38">
        <v>3</v>
      </c>
      <c r="O38">
        <v>2800</v>
      </c>
      <c r="P38">
        <v>5</v>
      </c>
      <c r="Q38">
        <v>7980</v>
      </c>
      <c r="R38" t="s">
        <v>31</v>
      </c>
      <c r="S38" t="s">
        <v>50</v>
      </c>
    </row>
    <row r="39" spans="1:19" x14ac:dyDescent="0.3">
      <c r="A39" t="s">
        <v>145</v>
      </c>
      <c r="B39" t="s">
        <v>146</v>
      </c>
      <c r="C39" t="s">
        <v>78</v>
      </c>
      <c r="D39" t="s">
        <v>22</v>
      </c>
      <c r="E39">
        <v>35</v>
      </c>
      <c r="F39" t="s">
        <v>23</v>
      </c>
      <c r="G39" t="s">
        <v>24</v>
      </c>
      <c r="H39" t="s">
        <v>25</v>
      </c>
      <c r="I39" t="s">
        <v>26</v>
      </c>
      <c r="J39" t="s">
        <v>27</v>
      </c>
      <c r="K39" t="s">
        <v>28</v>
      </c>
      <c r="L39" t="s">
        <v>68</v>
      </c>
      <c r="M39" t="s">
        <v>69</v>
      </c>
      <c r="N39">
        <v>3</v>
      </c>
      <c r="O39">
        <v>2500</v>
      </c>
      <c r="P39">
        <v>0</v>
      </c>
      <c r="Q39">
        <v>7500</v>
      </c>
      <c r="R39" t="s">
        <v>54</v>
      </c>
      <c r="S39" t="s">
        <v>21</v>
      </c>
    </row>
    <row r="40" spans="1:19" x14ac:dyDescent="0.3">
      <c r="A40" t="s">
        <v>147</v>
      </c>
      <c r="B40" t="s">
        <v>148</v>
      </c>
      <c r="C40" t="s">
        <v>57</v>
      </c>
      <c r="D40" t="s">
        <v>44</v>
      </c>
      <c r="E40">
        <v>36</v>
      </c>
      <c r="F40" t="s">
        <v>23</v>
      </c>
      <c r="G40" t="s">
        <v>58</v>
      </c>
      <c r="H40" t="s">
        <v>59</v>
      </c>
      <c r="I40" t="s">
        <v>60</v>
      </c>
      <c r="J40" t="s">
        <v>27</v>
      </c>
      <c r="K40" t="s">
        <v>28</v>
      </c>
      <c r="L40" t="s">
        <v>68</v>
      </c>
      <c r="M40" t="s">
        <v>69</v>
      </c>
      <c r="N40">
        <v>1</v>
      </c>
      <c r="O40">
        <v>2500</v>
      </c>
      <c r="P40">
        <v>10</v>
      </c>
      <c r="Q40">
        <v>2250</v>
      </c>
      <c r="R40" t="s">
        <v>31</v>
      </c>
      <c r="S40" t="s">
        <v>50</v>
      </c>
    </row>
    <row r="41" spans="1:19" x14ac:dyDescent="0.3">
      <c r="A41" t="s">
        <v>149</v>
      </c>
      <c r="B41" t="s">
        <v>150</v>
      </c>
      <c r="C41" t="s">
        <v>50</v>
      </c>
      <c r="D41" t="s">
        <v>22</v>
      </c>
      <c r="E41">
        <v>58</v>
      </c>
      <c r="F41" t="s">
        <v>23</v>
      </c>
      <c r="G41" t="s">
        <v>58</v>
      </c>
      <c r="H41" t="s">
        <v>59</v>
      </c>
      <c r="I41" t="s">
        <v>60</v>
      </c>
      <c r="J41" t="s">
        <v>79</v>
      </c>
      <c r="K41" t="s">
        <v>80</v>
      </c>
      <c r="L41" t="s">
        <v>81</v>
      </c>
      <c r="M41" t="s">
        <v>82</v>
      </c>
      <c r="N41">
        <v>5</v>
      </c>
      <c r="O41">
        <v>2800</v>
      </c>
      <c r="P41">
        <v>0</v>
      </c>
      <c r="Q41">
        <v>14000</v>
      </c>
      <c r="R41" t="s">
        <v>40</v>
      </c>
      <c r="S41" t="s">
        <v>32</v>
      </c>
    </row>
    <row r="42" spans="1:19" x14ac:dyDescent="0.3">
      <c r="A42" t="s">
        <v>151</v>
      </c>
      <c r="B42" t="s">
        <v>97</v>
      </c>
      <c r="C42" t="s">
        <v>43</v>
      </c>
      <c r="D42" t="s">
        <v>22</v>
      </c>
      <c r="E42">
        <v>27</v>
      </c>
      <c r="F42" t="s">
        <v>23</v>
      </c>
      <c r="G42" t="s">
        <v>24</v>
      </c>
      <c r="H42" t="s">
        <v>25</v>
      </c>
      <c r="I42" t="s">
        <v>26</v>
      </c>
      <c r="J42" t="s">
        <v>36</v>
      </c>
      <c r="K42" t="s">
        <v>37</v>
      </c>
      <c r="L42" t="s">
        <v>38</v>
      </c>
      <c r="M42" t="s">
        <v>39</v>
      </c>
      <c r="N42">
        <v>2</v>
      </c>
      <c r="O42">
        <v>6500</v>
      </c>
      <c r="P42">
        <v>10</v>
      </c>
      <c r="Q42">
        <v>11700</v>
      </c>
      <c r="R42" t="s">
        <v>61</v>
      </c>
      <c r="S42" t="s">
        <v>50</v>
      </c>
    </row>
    <row r="43" spans="1:19" x14ac:dyDescent="0.3">
      <c r="A43" t="s">
        <v>152</v>
      </c>
      <c r="B43" t="s">
        <v>153</v>
      </c>
      <c r="C43" t="s">
        <v>78</v>
      </c>
      <c r="D43" t="s">
        <v>22</v>
      </c>
      <c r="E43">
        <v>18</v>
      </c>
      <c r="F43" t="s">
        <v>23</v>
      </c>
      <c r="G43" t="s">
        <v>73</v>
      </c>
      <c r="H43" t="s">
        <v>74</v>
      </c>
      <c r="I43" t="s">
        <v>75</v>
      </c>
      <c r="J43" t="s">
        <v>27</v>
      </c>
      <c r="K43" t="s">
        <v>28</v>
      </c>
      <c r="L43" t="s">
        <v>29</v>
      </c>
      <c r="M43" t="s">
        <v>30</v>
      </c>
      <c r="N43">
        <v>4</v>
      </c>
      <c r="O43">
        <v>1200</v>
      </c>
      <c r="P43">
        <v>5</v>
      </c>
      <c r="Q43">
        <v>4560</v>
      </c>
      <c r="R43" t="s">
        <v>61</v>
      </c>
      <c r="S43" t="s">
        <v>70</v>
      </c>
    </row>
    <row r="44" spans="1:19" x14ac:dyDescent="0.3">
      <c r="A44" t="s">
        <v>154</v>
      </c>
      <c r="B44" t="s">
        <v>126</v>
      </c>
      <c r="C44" t="s">
        <v>105</v>
      </c>
      <c r="D44" t="s">
        <v>22</v>
      </c>
      <c r="E44">
        <v>37</v>
      </c>
      <c r="F44" t="s">
        <v>23</v>
      </c>
      <c r="G44" t="s">
        <v>58</v>
      </c>
      <c r="H44" t="s">
        <v>59</v>
      </c>
      <c r="I44" t="s">
        <v>60</v>
      </c>
      <c r="J44" t="s">
        <v>90</v>
      </c>
      <c r="K44" t="s">
        <v>91</v>
      </c>
      <c r="L44" t="s">
        <v>92</v>
      </c>
      <c r="M44" t="s">
        <v>93</v>
      </c>
      <c r="N44">
        <v>4</v>
      </c>
      <c r="O44">
        <v>450</v>
      </c>
      <c r="P44">
        <v>15</v>
      </c>
      <c r="Q44">
        <v>1530</v>
      </c>
      <c r="R44" t="s">
        <v>40</v>
      </c>
      <c r="S44" t="s">
        <v>70</v>
      </c>
    </row>
    <row r="45" spans="1:19" x14ac:dyDescent="0.3">
      <c r="A45" t="s">
        <v>155</v>
      </c>
      <c r="B45" t="s">
        <v>156</v>
      </c>
      <c r="C45" t="s">
        <v>102</v>
      </c>
      <c r="D45" t="s">
        <v>22</v>
      </c>
      <c r="E45">
        <v>22</v>
      </c>
      <c r="F45" t="s">
        <v>23</v>
      </c>
      <c r="G45" t="s">
        <v>24</v>
      </c>
      <c r="H45" t="s">
        <v>25</v>
      </c>
      <c r="I45" t="s">
        <v>26</v>
      </c>
      <c r="J45" t="s">
        <v>27</v>
      </c>
      <c r="K45" t="s">
        <v>28</v>
      </c>
      <c r="L45" t="s">
        <v>29</v>
      </c>
      <c r="M45" t="s">
        <v>30</v>
      </c>
      <c r="N45">
        <v>2</v>
      </c>
      <c r="O45">
        <v>1200</v>
      </c>
      <c r="P45">
        <v>5</v>
      </c>
      <c r="Q45">
        <v>2280</v>
      </c>
      <c r="R45" t="s">
        <v>61</v>
      </c>
      <c r="S45" t="s">
        <v>70</v>
      </c>
    </row>
    <row r="46" spans="1:19" x14ac:dyDescent="0.3">
      <c r="A46" t="s">
        <v>157</v>
      </c>
      <c r="B46" t="s">
        <v>158</v>
      </c>
      <c r="C46" t="s">
        <v>57</v>
      </c>
      <c r="D46" t="s">
        <v>44</v>
      </c>
      <c r="E46">
        <v>47</v>
      </c>
      <c r="F46" t="s">
        <v>23</v>
      </c>
      <c r="G46" t="s">
        <v>45</v>
      </c>
      <c r="H46" t="s">
        <v>46</v>
      </c>
      <c r="I46" t="s">
        <v>47</v>
      </c>
      <c r="J46" t="s">
        <v>36</v>
      </c>
      <c r="K46" t="s">
        <v>37</v>
      </c>
      <c r="L46" t="s">
        <v>48</v>
      </c>
      <c r="M46" t="s">
        <v>49</v>
      </c>
      <c r="N46">
        <v>3</v>
      </c>
      <c r="O46">
        <v>3500</v>
      </c>
      <c r="P46">
        <v>10</v>
      </c>
      <c r="Q46">
        <v>9450</v>
      </c>
      <c r="R46" t="s">
        <v>54</v>
      </c>
      <c r="S46" t="s">
        <v>21</v>
      </c>
    </row>
    <row r="47" spans="1:19" x14ac:dyDescent="0.3">
      <c r="A47" t="s">
        <v>159</v>
      </c>
      <c r="B47" t="s">
        <v>160</v>
      </c>
      <c r="C47" t="s">
        <v>102</v>
      </c>
      <c r="D47" t="s">
        <v>44</v>
      </c>
      <c r="E47">
        <v>49</v>
      </c>
      <c r="F47" t="s">
        <v>23</v>
      </c>
      <c r="G47" t="s">
        <v>73</v>
      </c>
      <c r="H47" t="s">
        <v>74</v>
      </c>
      <c r="I47" t="s">
        <v>75</v>
      </c>
      <c r="J47" t="s">
        <v>79</v>
      </c>
      <c r="K47" t="s">
        <v>80</v>
      </c>
      <c r="L47" t="s">
        <v>81</v>
      </c>
      <c r="M47" t="s">
        <v>82</v>
      </c>
      <c r="N47">
        <v>3</v>
      </c>
      <c r="O47">
        <v>2800</v>
      </c>
      <c r="P47">
        <v>15</v>
      </c>
      <c r="Q47">
        <v>7140</v>
      </c>
      <c r="R47" t="s">
        <v>40</v>
      </c>
      <c r="S47" t="s">
        <v>70</v>
      </c>
    </row>
    <row r="48" spans="1:19" x14ac:dyDescent="0.3">
      <c r="A48" t="s">
        <v>161</v>
      </c>
      <c r="B48" t="s">
        <v>148</v>
      </c>
      <c r="C48" t="s">
        <v>21</v>
      </c>
      <c r="D48" t="s">
        <v>44</v>
      </c>
      <c r="E48">
        <v>41</v>
      </c>
      <c r="F48" t="s">
        <v>23</v>
      </c>
      <c r="G48" t="s">
        <v>73</v>
      </c>
      <c r="H48" t="s">
        <v>74</v>
      </c>
      <c r="I48" t="s">
        <v>75</v>
      </c>
      <c r="J48" t="s">
        <v>79</v>
      </c>
      <c r="K48" t="s">
        <v>80</v>
      </c>
      <c r="L48" t="s">
        <v>81</v>
      </c>
      <c r="M48" t="s">
        <v>82</v>
      </c>
      <c r="N48">
        <v>3</v>
      </c>
      <c r="O48">
        <v>2800</v>
      </c>
      <c r="P48">
        <v>15</v>
      </c>
      <c r="Q48">
        <v>7140</v>
      </c>
      <c r="R48" t="s">
        <v>31</v>
      </c>
      <c r="S48" t="s">
        <v>70</v>
      </c>
    </row>
    <row r="49" spans="1:19" x14ac:dyDescent="0.3">
      <c r="A49" t="s">
        <v>162</v>
      </c>
      <c r="B49" t="s">
        <v>99</v>
      </c>
      <c r="C49" t="s">
        <v>102</v>
      </c>
      <c r="D49" t="s">
        <v>22</v>
      </c>
      <c r="E49">
        <v>47</v>
      </c>
      <c r="F49" t="s">
        <v>23</v>
      </c>
      <c r="G49" t="s">
        <v>65</v>
      </c>
      <c r="H49" t="s">
        <v>66</v>
      </c>
      <c r="I49" t="s">
        <v>67</v>
      </c>
      <c r="J49" t="s">
        <v>36</v>
      </c>
      <c r="K49" t="s">
        <v>37</v>
      </c>
      <c r="L49" t="s">
        <v>38</v>
      </c>
      <c r="M49" t="s">
        <v>39</v>
      </c>
      <c r="N49">
        <v>3</v>
      </c>
      <c r="O49">
        <v>6500</v>
      </c>
      <c r="P49">
        <v>15</v>
      </c>
      <c r="Q49">
        <v>16575</v>
      </c>
      <c r="R49" t="s">
        <v>31</v>
      </c>
      <c r="S49" t="s">
        <v>50</v>
      </c>
    </row>
    <row r="50" spans="1:19" x14ac:dyDescent="0.3">
      <c r="A50" t="s">
        <v>163</v>
      </c>
      <c r="B50" t="s">
        <v>164</v>
      </c>
      <c r="C50" t="s">
        <v>57</v>
      </c>
      <c r="D50" t="s">
        <v>22</v>
      </c>
      <c r="E50">
        <v>38</v>
      </c>
      <c r="F50" t="s">
        <v>23</v>
      </c>
      <c r="G50" t="s">
        <v>45</v>
      </c>
      <c r="H50" t="s">
        <v>46</v>
      </c>
      <c r="I50" t="s">
        <v>47</v>
      </c>
      <c r="J50" t="s">
        <v>27</v>
      </c>
      <c r="K50" t="s">
        <v>28</v>
      </c>
      <c r="L50" t="s">
        <v>68</v>
      </c>
      <c r="M50" t="s">
        <v>69</v>
      </c>
      <c r="N50">
        <v>3</v>
      </c>
      <c r="O50">
        <v>2500</v>
      </c>
      <c r="P50">
        <v>15</v>
      </c>
      <c r="Q50">
        <v>6375</v>
      </c>
      <c r="R50" t="s">
        <v>54</v>
      </c>
      <c r="S50" t="s">
        <v>21</v>
      </c>
    </row>
    <row r="51" spans="1:19" x14ac:dyDescent="0.3">
      <c r="A51" t="s">
        <v>165</v>
      </c>
      <c r="B51" t="s">
        <v>166</v>
      </c>
      <c r="C51" t="s">
        <v>21</v>
      </c>
      <c r="D51" t="s">
        <v>22</v>
      </c>
      <c r="E51">
        <v>28</v>
      </c>
      <c r="F51" t="s">
        <v>23</v>
      </c>
      <c r="G51" t="s">
        <v>73</v>
      </c>
      <c r="H51" t="s">
        <v>74</v>
      </c>
      <c r="I51" t="s">
        <v>75</v>
      </c>
      <c r="J51" t="s">
        <v>27</v>
      </c>
      <c r="K51" t="s">
        <v>28</v>
      </c>
      <c r="L51" t="s">
        <v>68</v>
      </c>
      <c r="M51" t="s">
        <v>69</v>
      </c>
      <c r="N51">
        <v>4</v>
      </c>
      <c r="O51">
        <v>2500</v>
      </c>
      <c r="P51">
        <v>0</v>
      </c>
      <c r="Q51">
        <v>10000</v>
      </c>
      <c r="R51" t="s">
        <v>61</v>
      </c>
      <c r="S51" t="s">
        <v>70</v>
      </c>
    </row>
    <row r="52" spans="1:19" x14ac:dyDescent="0.3">
      <c r="A52" t="s">
        <v>167</v>
      </c>
      <c r="B52" t="s">
        <v>86</v>
      </c>
      <c r="C52" t="s">
        <v>50</v>
      </c>
      <c r="D52" t="s">
        <v>22</v>
      </c>
      <c r="E52">
        <v>22</v>
      </c>
      <c r="F52" t="s">
        <v>23</v>
      </c>
      <c r="G52" t="s">
        <v>73</v>
      </c>
      <c r="H52" t="s">
        <v>74</v>
      </c>
      <c r="I52" t="s">
        <v>75</v>
      </c>
      <c r="J52" t="s">
        <v>27</v>
      </c>
      <c r="K52" t="s">
        <v>28</v>
      </c>
      <c r="L52" t="s">
        <v>29</v>
      </c>
      <c r="M52" t="s">
        <v>30</v>
      </c>
      <c r="N52">
        <v>5</v>
      </c>
      <c r="O52">
        <v>1200</v>
      </c>
      <c r="P52">
        <v>10</v>
      </c>
      <c r="Q52">
        <v>5400</v>
      </c>
      <c r="R52" t="s">
        <v>31</v>
      </c>
      <c r="S52" t="s">
        <v>50</v>
      </c>
    </row>
    <row r="53" spans="1:19" x14ac:dyDescent="0.3">
      <c r="A53" t="s">
        <v>168</v>
      </c>
      <c r="B53" t="s">
        <v>169</v>
      </c>
      <c r="C53" t="s">
        <v>50</v>
      </c>
      <c r="D53" t="s">
        <v>44</v>
      </c>
      <c r="E53">
        <v>59</v>
      </c>
      <c r="F53" t="s">
        <v>23</v>
      </c>
      <c r="G53" t="s">
        <v>65</v>
      </c>
      <c r="H53" t="s">
        <v>66</v>
      </c>
      <c r="I53" t="s">
        <v>67</v>
      </c>
      <c r="J53" t="s">
        <v>90</v>
      </c>
      <c r="K53" t="s">
        <v>91</v>
      </c>
      <c r="L53" t="s">
        <v>92</v>
      </c>
      <c r="M53" t="s">
        <v>93</v>
      </c>
      <c r="N53">
        <v>4</v>
      </c>
      <c r="O53">
        <v>450</v>
      </c>
      <c r="P53">
        <v>0</v>
      </c>
      <c r="Q53">
        <v>1800</v>
      </c>
      <c r="R53" t="s">
        <v>40</v>
      </c>
      <c r="S53" t="s">
        <v>21</v>
      </c>
    </row>
    <row r="54" spans="1:19" x14ac:dyDescent="0.3">
      <c r="A54" t="s">
        <v>170</v>
      </c>
      <c r="B54" t="s">
        <v>171</v>
      </c>
      <c r="C54" t="s">
        <v>35</v>
      </c>
      <c r="D54" t="s">
        <v>44</v>
      </c>
      <c r="E54">
        <v>44</v>
      </c>
      <c r="F54" t="s">
        <v>23</v>
      </c>
      <c r="G54" t="s">
        <v>45</v>
      </c>
      <c r="H54" t="s">
        <v>46</v>
      </c>
      <c r="I54" t="s">
        <v>47</v>
      </c>
      <c r="J54" t="s">
        <v>27</v>
      </c>
      <c r="K54" t="s">
        <v>28</v>
      </c>
      <c r="L54" t="s">
        <v>68</v>
      </c>
      <c r="M54" t="s">
        <v>69</v>
      </c>
      <c r="N54">
        <v>5</v>
      </c>
      <c r="O54">
        <v>2500</v>
      </c>
      <c r="P54">
        <v>10</v>
      </c>
      <c r="Q54">
        <v>11250</v>
      </c>
      <c r="R54" t="s">
        <v>31</v>
      </c>
      <c r="S54" t="s">
        <v>70</v>
      </c>
    </row>
    <row r="55" spans="1:19" x14ac:dyDescent="0.3">
      <c r="A55" t="s">
        <v>172</v>
      </c>
      <c r="B55" t="s">
        <v>173</v>
      </c>
      <c r="C55" t="s">
        <v>102</v>
      </c>
      <c r="D55" t="s">
        <v>44</v>
      </c>
      <c r="E55">
        <v>49</v>
      </c>
      <c r="F55" t="s">
        <v>23</v>
      </c>
      <c r="G55" t="s">
        <v>65</v>
      </c>
      <c r="H55" t="s">
        <v>66</v>
      </c>
      <c r="I55" t="s">
        <v>67</v>
      </c>
      <c r="J55" t="s">
        <v>36</v>
      </c>
      <c r="K55" t="s">
        <v>37</v>
      </c>
      <c r="L55" t="s">
        <v>38</v>
      </c>
      <c r="M55" t="s">
        <v>39</v>
      </c>
      <c r="N55">
        <v>4</v>
      </c>
      <c r="O55">
        <v>6500</v>
      </c>
      <c r="P55">
        <v>5</v>
      </c>
      <c r="Q55">
        <v>24700</v>
      </c>
      <c r="R55" t="s">
        <v>40</v>
      </c>
      <c r="S55" t="s">
        <v>70</v>
      </c>
    </row>
    <row r="56" spans="1:19" x14ac:dyDescent="0.3">
      <c r="A56" t="s">
        <v>174</v>
      </c>
      <c r="B56" t="s">
        <v>175</v>
      </c>
      <c r="C56" t="s">
        <v>21</v>
      </c>
      <c r="D56" t="s">
        <v>22</v>
      </c>
      <c r="E56">
        <v>29</v>
      </c>
      <c r="F56" t="s">
        <v>23</v>
      </c>
      <c r="G56" t="s">
        <v>45</v>
      </c>
      <c r="H56" t="s">
        <v>46</v>
      </c>
      <c r="I56" t="s">
        <v>47</v>
      </c>
      <c r="J56" t="s">
        <v>90</v>
      </c>
      <c r="K56" t="s">
        <v>91</v>
      </c>
      <c r="L56" t="s">
        <v>92</v>
      </c>
      <c r="M56" t="s">
        <v>93</v>
      </c>
      <c r="N56">
        <v>1</v>
      </c>
      <c r="O56">
        <v>450</v>
      </c>
      <c r="P56">
        <v>5</v>
      </c>
      <c r="Q56">
        <v>427.5</v>
      </c>
      <c r="R56" t="s">
        <v>54</v>
      </c>
      <c r="S56" t="s">
        <v>21</v>
      </c>
    </row>
    <row r="57" spans="1:19" x14ac:dyDescent="0.3">
      <c r="A57" t="s">
        <v>176</v>
      </c>
      <c r="B57" t="s">
        <v>177</v>
      </c>
      <c r="C57" t="s">
        <v>102</v>
      </c>
      <c r="D57" t="s">
        <v>22</v>
      </c>
      <c r="E57">
        <v>58</v>
      </c>
      <c r="F57" t="s">
        <v>23</v>
      </c>
      <c r="G57" t="s">
        <v>73</v>
      </c>
      <c r="H57" t="s">
        <v>74</v>
      </c>
      <c r="I57" t="s">
        <v>75</v>
      </c>
      <c r="J57" t="s">
        <v>90</v>
      </c>
      <c r="K57" t="s">
        <v>91</v>
      </c>
      <c r="L57" t="s">
        <v>92</v>
      </c>
      <c r="M57" t="s">
        <v>93</v>
      </c>
      <c r="N57">
        <v>5</v>
      </c>
      <c r="O57">
        <v>450</v>
      </c>
      <c r="P57">
        <v>10</v>
      </c>
      <c r="Q57">
        <v>2025</v>
      </c>
      <c r="R57" t="s">
        <v>61</v>
      </c>
      <c r="S57" t="s">
        <v>21</v>
      </c>
    </row>
    <row r="58" spans="1:19" x14ac:dyDescent="0.3">
      <c r="A58" t="s">
        <v>178</v>
      </c>
      <c r="B58" t="s">
        <v>179</v>
      </c>
      <c r="C58" t="s">
        <v>102</v>
      </c>
      <c r="D58" t="s">
        <v>44</v>
      </c>
      <c r="E58">
        <v>28</v>
      </c>
      <c r="F58" t="s">
        <v>23</v>
      </c>
      <c r="G58" t="s">
        <v>45</v>
      </c>
      <c r="H58" t="s">
        <v>46</v>
      </c>
      <c r="I58" t="s">
        <v>47</v>
      </c>
      <c r="J58" t="s">
        <v>90</v>
      </c>
      <c r="K58" t="s">
        <v>91</v>
      </c>
      <c r="L58" t="s">
        <v>92</v>
      </c>
      <c r="M58" t="s">
        <v>93</v>
      </c>
      <c r="N58">
        <v>5</v>
      </c>
      <c r="O58">
        <v>450</v>
      </c>
      <c r="P58">
        <v>5</v>
      </c>
      <c r="Q58">
        <v>2137.5</v>
      </c>
      <c r="R58" t="s">
        <v>54</v>
      </c>
      <c r="S58" t="s">
        <v>50</v>
      </c>
    </row>
    <row r="59" spans="1:19" x14ac:dyDescent="0.3">
      <c r="A59" t="s">
        <v>180</v>
      </c>
      <c r="B59" t="s">
        <v>99</v>
      </c>
      <c r="C59" t="s">
        <v>53</v>
      </c>
      <c r="D59" t="s">
        <v>44</v>
      </c>
      <c r="E59">
        <v>43</v>
      </c>
      <c r="F59" t="s">
        <v>23</v>
      </c>
      <c r="G59" t="s">
        <v>24</v>
      </c>
      <c r="H59" t="s">
        <v>25</v>
      </c>
      <c r="I59" t="s">
        <v>26</v>
      </c>
      <c r="J59" t="s">
        <v>36</v>
      </c>
      <c r="K59" t="s">
        <v>37</v>
      </c>
      <c r="L59" t="s">
        <v>48</v>
      </c>
      <c r="M59" t="s">
        <v>49</v>
      </c>
      <c r="N59">
        <v>2</v>
      </c>
      <c r="O59">
        <v>3500</v>
      </c>
      <c r="P59">
        <v>15</v>
      </c>
      <c r="Q59">
        <v>5950</v>
      </c>
      <c r="R59" t="s">
        <v>40</v>
      </c>
      <c r="S59" t="s">
        <v>70</v>
      </c>
    </row>
    <row r="60" spans="1:19" x14ac:dyDescent="0.3">
      <c r="A60" t="s">
        <v>181</v>
      </c>
      <c r="B60" t="s">
        <v>182</v>
      </c>
      <c r="C60" t="s">
        <v>57</v>
      </c>
      <c r="D60" t="s">
        <v>22</v>
      </c>
      <c r="E60">
        <v>28</v>
      </c>
      <c r="F60" t="s">
        <v>23</v>
      </c>
      <c r="G60" t="s">
        <v>65</v>
      </c>
      <c r="H60" t="s">
        <v>66</v>
      </c>
      <c r="I60" t="s">
        <v>67</v>
      </c>
      <c r="J60" t="s">
        <v>36</v>
      </c>
      <c r="K60" t="s">
        <v>37</v>
      </c>
      <c r="L60" t="s">
        <v>38</v>
      </c>
      <c r="M60" t="s">
        <v>39</v>
      </c>
      <c r="N60">
        <v>3</v>
      </c>
      <c r="O60">
        <v>6500</v>
      </c>
      <c r="P60">
        <v>10</v>
      </c>
      <c r="Q60">
        <v>17550</v>
      </c>
      <c r="R60" t="s">
        <v>31</v>
      </c>
      <c r="S60" t="s">
        <v>21</v>
      </c>
    </row>
    <row r="61" spans="1:19" x14ac:dyDescent="0.3">
      <c r="A61" t="s">
        <v>183</v>
      </c>
      <c r="B61" t="s">
        <v>184</v>
      </c>
      <c r="C61" t="s">
        <v>50</v>
      </c>
      <c r="D61" t="s">
        <v>22</v>
      </c>
      <c r="E61">
        <v>43</v>
      </c>
      <c r="F61" t="s">
        <v>23</v>
      </c>
      <c r="G61" t="s">
        <v>73</v>
      </c>
      <c r="H61" t="s">
        <v>74</v>
      </c>
      <c r="I61" t="s">
        <v>75</v>
      </c>
      <c r="J61" t="s">
        <v>90</v>
      </c>
      <c r="K61" t="s">
        <v>91</v>
      </c>
      <c r="L61" t="s">
        <v>92</v>
      </c>
      <c r="M61" t="s">
        <v>93</v>
      </c>
      <c r="N61">
        <v>1</v>
      </c>
      <c r="O61">
        <v>450</v>
      </c>
      <c r="P61">
        <v>10</v>
      </c>
      <c r="Q61">
        <v>405</v>
      </c>
      <c r="R61" t="s">
        <v>40</v>
      </c>
      <c r="S61" t="s">
        <v>70</v>
      </c>
    </row>
    <row r="62" spans="1:19" x14ac:dyDescent="0.3">
      <c r="A62" t="s">
        <v>185</v>
      </c>
      <c r="B62" t="s">
        <v>186</v>
      </c>
      <c r="C62" t="s">
        <v>78</v>
      </c>
      <c r="D62" t="s">
        <v>22</v>
      </c>
      <c r="E62">
        <v>18</v>
      </c>
      <c r="F62" t="s">
        <v>23</v>
      </c>
      <c r="G62" t="s">
        <v>24</v>
      </c>
      <c r="H62" t="s">
        <v>25</v>
      </c>
      <c r="I62" t="s">
        <v>26</v>
      </c>
      <c r="J62" t="s">
        <v>36</v>
      </c>
      <c r="K62" t="s">
        <v>37</v>
      </c>
      <c r="L62" t="s">
        <v>38</v>
      </c>
      <c r="M62" t="s">
        <v>39</v>
      </c>
      <c r="N62">
        <v>4</v>
      </c>
      <c r="O62">
        <v>6500</v>
      </c>
      <c r="P62">
        <v>10</v>
      </c>
      <c r="Q62">
        <v>23400</v>
      </c>
      <c r="R62" t="s">
        <v>54</v>
      </c>
      <c r="S62" t="s">
        <v>32</v>
      </c>
    </row>
    <row r="63" spans="1:19" x14ac:dyDescent="0.3">
      <c r="A63" t="s">
        <v>187</v>
      </c>
      <c r="B63" t="s">
        <v>188</v>
      </c>
      <c r="C63" t="s">
        <v>78</v>
      </c>
      <c r="D63" t="s">
        <v>22</v>
      </c>
      <c r="E63">
        <v>36</v>
      </c>
      <c r="F63" t="s">
        <v>23</v>
      </c>
      <c r="G63" t="s">
        <v>65</v>
      </c>
      <c r="H63" t="s">
        <v>66</v>
      </c>
      <c r="I63" t="s">
        <v>67</v>
      </c>
      <c r="J63" t="s">
        <v>36</v>
      </c>
      <c r="K63" t="s">
        <v>37</v>
      </c>
      <c r="L63" t="s">
        <v>48</v>
      </c>
      <c r="M63" t="s">
        <v>49</v>
      </c>
      <c r="N63">
        <v>2</v>
      </c>
      <c r="O63">
        <v>3500</v>
      </c>
      <c r="P63">
        <v>5</v>
      </c>
      <c r="Q63">
        <v>6650</v>
      </c>
      <c r="R63" t="s">
        <v>61</v>
      </c>
      <c r="S63" t="s">
        <v>50</v>
      </c>
    </row>
    <row r="64" spans="1:19" x14ac:dyDescent="0.3">
      <c r="A64" t="s">
        <v>189</v>
      </c>
      <c r="B64" t="s">
        <v>190</v>
      </c>
      <c r="C64" t="s">
        <v>21</v>
      </c>
      <c r="D64" t="s">
        <v>44</v>
      </c>
      <c r="E64">
        <v>45</v>
      </c>
      <c r="F64" t="s">
        <v>23</v>
      </c>
      <c r="G64" t="s">
        <v>73</v>
      </c>
      <c r="H64" t="s">
        <v>74</v>
      </c>
      <c r="I64" t="s">
        <v>75</v>
      </c>
      <c r="J64" t="s">
        <v>27</v>
      </c>
      <c r="K64" t="s">
        <v>28</v>
      </c>
      <c r="L64" t="s">
        <v>68</v>
      </c>
      <c r="M64" t="s">
        <v>69</v>
      </c>
      <c r="N64">
        <v>5</v>
      </c>
      <c r="O64">
        <v>2500</v>
      </c>
      <c r="P64">
        <v>5</v>
      </c>
      <c r="Q64">
        <v>11875</v>
      </c>
      <c r="R64" t="s">
        <v>31</v>
      </c>
      <c r="S64" t="s">
        <v>32</v>
      </c>
    </row>
    <row r="65" spans="1:19" x14ac:dyDescent="0.3">
      <c r="A65" t="s">
        <v>191</v>
      </c>
      <c r="B65" t="s">
        <v>136</v>
      </c>
      <c r="C65" t="s">
        <v>43</v>
      </c>
      <c r="D65" t="s">
        <v>44</v>
      </c>
      <c r="E65">
        <v>24</v>
      </c>
      <c r="F65" t="s">
        <v>23</v>
      </c>
      <c r="G65" t="s">
        <v>45</v>
      </c>
      <c r="H65" t="s">
        <v>46</v>
      </c>
      <c r="I65" t="s">
        <v>47</v>
      </c>
      <c r="J65" t="s">
        <v>79</v>
      </c>
      <c r="K65" t="s">
        <v>80</v>
      </c>
      <c r="L65" t="s">
        <v>81</v>
      </c>
      <c r="M65" t="s">
        <v>82</v>
      </c>
      <c r="N65">
        <v>5</v>
      </c>
      <c r="O65">
        <v>2800</v>
      </c>
      <c r="P65">
        <v>15</v>
      </c>
      <c r="Q65">
        <v>11900</v>
      </c>
      <c r="R65" t="s">
        <v>61</v>
      </c>
      <c r="S65" t="s">
        <v>70</v>
      </c>
    </row>
    <row r="66" spans="1:19" x14ac:dyDescent="0.3">
      <c r="A66" t="s">
        <v>192</v>
      </c>
      <c r="B66" t="s">
        <v>156</v>
      </c>
      <c r="C66" t="s">
        <v>105</v>
      </c>
      <c r="D66" t="s">
        <v>44</v>
      </c>
      <c r="E66">
        <v>23</v>
      </c>
      <c r="F66" t="s">
        <v>23</v>
      </c>
      <c r="G66" t="s">
        <v>65</v>
      </c>
      <c r="H66" t="s">
        <v>66</v>
      </c>
      <c r="I66" t="s">
        <v>67</v>
      </c>
      <c r="J66" t="s">
        <v>27</v>
      </c>
      <c r="K66" t="s">
        <v>28</v>
      </c>
      <c r="L66" t="s">
        <v>68</v>
      </c>
      <c r="M66" t="s">
        <v>69</v>
      </c>
      <c r="N66">
        <v>3</v>
      </c>
      <c r="O66">
        <v>2500</v>
      </c>
      <c r="P66">
        <v>15</v>
      </c>
      <c r="Q66">
        <v>6375</v>
      </c>
      <c r="R66" t="s">
        <v>54</v>
      </c>
      <c r="S66" t="s">
        <v>50</v>
      </c>
    </row>
    <row r="67" spans="1:19" x14ac:dyDescent="0.3">
      <c r="A67" t="s">
        <v>193</v>
      </c>
      <c r="B67" t="s">
        <v>194</v>
      </c>
      <c r="C67" t="s">
        <v>78</v>
      </c>
      <c r="D67" t="s">
        <v>22</v>
      </c>
      <c r="E67">
        <v>27</v>
      </c>
      <c r="F67" t="s">
        <v>23</v>
      </c>
      <c r="G67" t="s">
        <v>24</v>
      </c>
      <c r="H67" t="s">
        <v>25</v>
      </c>
      <c r="I67" t="s">
        <v>26</v>
      </c>
      <c r="J67" t="s">
        <v>79</v>
      </c>
      <c r="K67" t="s">
        <v>80</v>
      </c>
      <c r="L67" t="s">
        <v>81</v>
      </c>
      <c r="M67" t="s">
        <v>82</v>
      </c>
      <c r="N67">
        <v>5</v>
      </c>
      <c r="O67">
        <v>2800</v>
      </c>
      <c r="P67">
        <v>0</v>
      </c>
      <c r="Q67">
        <v>14000</v>
      </c>
      <c r="R67" t="s">
        <v>61</v>
      </c>
      <c r="S67" t="s">
        <v>70</v>
      </c>
    </row>
    <row r="68" spans="1:19" x14ac:dyDescent="0.3">
      <c r="A68" t="s">
        <v>195</v>
      </c>
      <c r="B68" t="s">
        <v>196</v>
      </c>
      <c r="C68" t="s">
        <v>35</v>
      </c>
      <c r="D68" t="s">
        <v>22</v>
      </c>
      <c r="E68">
        <v>21</v>
      </c>
      <c r="F68" t="s">
        <v>23</v>
      </c>
      <c r="G68" t="s">
        <v>24</v>
      </c>
      <c r="H68" t="s">
        <v>25</v>
      </c>
      <c r="I68" t="s">
        <v>26</v>
      </c>
      <c r="J68" t="s">
        <v>79</v>
      </c>
      <c r="K68" t="s">
        <v>80</v>
      </c>
      <c r="L68" t="s">
        <v>81</v>
      </c>
      <c r="M68" t="s">
        <v>82</v>
      </c>
      <c r="N68">
        <v>4</v>
      </c>
      <c r="O68">
        <v>2800</v>
      </c>
      <c r="P68">
        <v>10</v>
      </c>
      <c r="Q68">
        <v>10080</v>
      </c>
      <c r="R68" t="s">
        <v>40</v>
      </c>
      <c r="S68" t="s">
        <v>32</v>
      </c>
    </row>
    <row r="69" spans="1:19" x14ac:dyDescent="0.3">
      <c r="A69" t="s">
        <v>197</v>
      </c>
      <c r="B69" t="s">
        <v>20</v>
      </c>
      <c r="C69" t="s">
        <v>78</v>
      </c>
      <c r="D69" t="s">
        <v>22</v>
      </c>
      <c r="E69">
        <v>33</v>
      </c>
      <c r="F69" t="s">
        <v>23</v>
      </c>
      <c r="G69" t="s">
        <v>24</v>
      </c>
      <c r="H69" t="s">
        <v>25</v>
      </c>
      <c r="I69" t="s">
        <v>26</v>
      </c>
      <c r="J69" t="s">
        <v>36</v>
      </c>
      <c r="K69" t="s">
        <v>37</v>
      </c>
      <c r="L69" t="s">
        <v>48</v>
      </c>
      <c r="M69" t="s">
        <v>49</v>
      </c>
      <c r="N69">
        <v>2</v>
      </c>
      <c r="O69">
        <v>3500</v>
      </c>
      <c r="P69">
        <v>10</v>
      </c>
      <c r="Q69">
        <v>6300</v>
      </c>
      <c r="R69" t="s">
        <v>40</v>
      </c>
      <c r="S69" t="s">
        <v>21</v>
      </c>
    </row>
    <row r="70" spans="1:19" x14ac:dyDescent="0.3">
      <c r="A70" t="s">
        <v>198</v>
      </c>
      <c r="B70" t="s">
        <v>199</v>
      </c>
      <c r="C70" t="s">
        <v>64</v>
      </c>
      <c r="D70" t="s">
        <v>22</v>
      </c>
      <c r="E70">
        <v>23</v>
      </c>
      <c r="F70" t="s">
        <v>23</v>
      </c>
      <c r="G70" t="s">
        <v>58</v>
      </c>
      <c r="H70" t="s">
        <v>59</v>
      </c>
      <c r="I70" t="s">
        <v>60</v>
      </c>
      <c r="J70" t="s">
        <v>90</v>
      </c>
      <c r="K70" t="s">
        <v>91</v>
      </c>
      <c r="L70" t="s">
        <v>92</v>
      </c>
      <c r="M70" t="s">
        <v>93</v>
      </c>
      <c r="N70">
        <v>3</v>
      </c>
      <c r="O70">
        <v>450</v>
      </c>
      <c r="P70">
        <v>0</v>
      </c>
      <c r="Q70">
        <v>1350</v>
      </c>
      <c r="R70" t="s">
        <v>31</v>
      </c>
      <c r="S70" t="s">
        <v>32</v>
      </c>
    </row>
    <row r="71" spans="1:19" x14ac:dyDescent="0.3">
      <c r="A71" t="s">
        <v>200</v>
      </c>
      <c r="B71" t="s">
        <v>175</v>
      </c>
      <c r="C71" t="s">
        <v>35</v>
      </c>
      <c r="D71" t="s">
        <v>44</v>
      </c>
      <c r="E71">
        <v>44</v>
      </c>
      <c r="F71" t="s">
        <v>23</v>
      </c>
      <c r="G71" t="s">
        <v>58</v>
      </c>
      <c r="H71" t="s">
        <v>59</v>
      </c>
      <c r="I71" t="s">
        <v>60</v>
      </c>
      <c r="J71" t="s">
        <v>79</v>
      </c>
      <c r="K71" t="s">
        <v>80</v>
      </c>
      <c r="L71" t="s">
        <v>81</v>
      </c>
      <c r="M71" t="s">
        <v>82</v>
      </c>
      <c r="N71">
        <v>2</v>
      </c>
      <c r="O71">
        <v>2800</v>
      </c>
      <c r="P71">
        <v>15</v>
      </c>
      <c r="Q71">
        <v>4760</v>
      </c>
      <c r="R71" t="s">
        <v>31</v>
      </c>
      <c r="S71" t="s">
        <v>70</v>
      </c>
    </row>
    <row r="72" spans="1:19" x14ac:dyDescent="0.3">
      <c r="A72" t="s">
        <v>201</v>
      </c>
      <c r="B72" t="s">
        <v>202</v>
      </c>
      <c r="C72" t="s">
        <v>64</v>
      </c>
      <c r="D72" t="s">
        <v>44</v>
      </c>
      <c r="E72">
        <v>58</v>
      </c>
      <c r="F72" t="s">
        <v>23</v>
      </c>
      <c r="G72" t="s">
        <v>58</v>
      </c>
      <c r="H72" t="s">
        <v>59</v>
      </c>
      <c r="I72" t="s">
        <v>60</v>
      </c>
      <c r="J72" t="s">
        <v>36</v>
      </c>
      <c r="K72" t="s">
        <v>37</v>
      </c>
      <c r="L72" t="s">
        <v>38</v>
      </c>
      <c r="M72" t="s">
        <v>39</v>
      </c>
      <c r="N72">
        <v>3</v>
      </c>
      <c r="O72">
        <v>6500</v>
      </c>
      <c r="P72">
        <v>15</v>
      </c>
      <c r="Q72">
        <v>16575</v>
      </c>
      <c r="R72" t="s">
        <v>31</v>
      </c>
      <c r="S72" t="s">
        <v>50</v>
      </c>
    </row>
    <row r="73" spans="1:19" x14ac:dyDescent="0.3">
      <c r="A73" t="s">
        <v>203</v>
      </c>
      <c r="B73" t="s">
        <v>204</v>
      </c>
      <c r="C73" t="s">
        <v>57</v>
      </c>
      <c r="D73" t="s">
        <v>22</v>
      </c>
      <c r="E73">
        <v>41</v>
      </c>
      <c r="F73" t="s">
        <v>23</v>
      </c>
      <c r="G73" t="s">
        <v>58</v>
      </c>
      <c r="H73" t="s">
        <v>59</v>
      </c>
      <c r="I73" t="s">
        <v>60</v>
      </c>
      <c r="J73" t="s">
        <v>90</v>
      </c>
      <c r="K73" t="s">
        <v>91</v>
      </c>
      <c r="L73" t="s">
        <v>92</v>
      </c>
      <c r="M73" t="s">
        <v>93</v>
      </c>
      <c r="N73">
        <v>5</v>
      </c>
      <c r="O73">
        <v>450</v>
      </c>
      <c r="P73">
        <v>0</v>
      </c>
      <c r="Q73">
        <v>2250</v>
      </c>
      <c r="R73" t="s">
        <v>31</v>
      </c>
      <c r="S73" t="s">
        <v>50</v>
      </c>
    </row>
    <row r="74" spans="1:19" x14ac:dyDescent="0.3">
      <c r="A74" t="s">
        <v>205</v>
      </c>
      <c r="B74" t="s">
        <v>77</v>
      </c>
      <c r="C74" t="s">
        <v>43</v>
      </c>
      <c r="D74" t="s">
        <v>22</v>
      </c>
      <c r="E74">
        <v>50</v>
      </c>
      <c r="F74" t="s">
        <v>23</v>
      </c>
      <c r="G74" t="s">
        <v>24</v>
      </c>
      <c r="H74" t="s">
        <v>25</v>
      </c>
      <c r="I74" t="s">
        <v>26</v>
      </c>
      <c r="J74" t="s">
        <v>36</v>
      </c>
      <c r="K74" t="s">
        <v>37</v>
      </c>
      <c r="L74" t="s">
        <v>38</v>
      </c>
      <c r="M74" t="s">
        <v>39</v>
      </c>
      <c r="N74">
        <v>3</v>
      </c>
      <c r="O74">
        <v>6500</v>
      </c>
      <c r="P74">
        <v>0</v>
      </c>
      <c r="Q74">
        <v>19500</v>
      </c>
      <c r="R74" t="s">
        <v>40</v>
      </c>
      <c r="S74" t="s">
        <v>21</v>
      </c>
    </row>
    <row r="75" spans="1:19" x14ac:dyDescent="0.3">
      <c r="A75" t="s">
        <v>206</v>
      </c>
      <c r="B75" t="s">
        <v>77</v>
      </c>
      <c r="C75" t="s">
        <v>53</v>
      </c>
      <c r="D75" t="s">
        <v>44</v>
      </c>
      <c r="E75">
        <v>43</v>
      </c>
      <c r="F75" t="s">
        <v>23</v>
      </c>
      <c r="G75" t="s">
        <v>65</v>
      </c>
      <c r="H75" t="s">
        <v>66</v>
      </c>
      <c r="I75" t="s">
        <v>67</v>
      </c>
      <c r="J75" t="s">
        <v>79</v>
      </c>
      <c r="K75" t="s">
        <v>80</v>
      </c>
      <c r="L75" t="s">
        <v>81</v>
      </c>
      <c r="M75" t="s">
        <v>82</v>
      </c>
      <c r="N75">
        <v>5</v>
      </c>
      <c r="O75">
        <v>2800</v>
      </c>
      <c r="P75">
        <v>10</v>
      </c>
      <c r="Q75">
        <v>12600</v>
      </c>
      <c r="R75" t="s">
        <v>31</v>
      </c>
      <c r="S75" t="s">
        <v>32</v>
      </c>
    </row>
    <row r="76" spans="1:19" x14ac:dyDescent="0.3">
      <c r="A76" t="s">
        <v>207</v>
      </c>
      <c r="B76" t="s">
        <v>208</v>
      </c>
      <c r="C76" t="s">
        <v>50</v>
      </c>
      <c r="D76" t="s">
        <v>44</v>
      </c>
      <c r="E76">
        <v>50</v>
      </c>
      <c r="F76" t="s">
        <v>23</v>
      </c>
      <c r="G76" t="s">
        <v>73</v>
      </c>
      <c r="H76" t="s">
        <v>74</v>
      </c>
      <c r="I76" t="s">
        <v>75</v>
      </c>
      <c r="J76" t="s">
        <v>90</v>
      </c>
      <c r="K76" t="s">
        <v>91</v>
      </c>
      <c r="L76" t="s">
        <v>92</v>
      </c>
      <c r="M76" t="s">
        <v>93</v>
      </c>
      <c r="N76">
        <v>3</v>
      </c>
      <c r="O76">
        <v>450</v>
      </c>
      <c r="P76">
        <v>5</v>
      </c>
      <c r="Q76">
        <v>1282.5</v>
      </c>
      <c r="R76" t="s">
        <v>61</v>
      </c>
      <c r="S76" t="s">
        <v>50</v>
      </c>
    </row>
    <row r="77" spans="1:19" x14ac:dyDescent="0.3">
      <c r="A77" t="s">
        <v>209</v>
      </c>
      <c r="B77" t="s">
        <v>112</v>
      </c>
      <c r="C77" t="s">
        <v>35</v>
      </c>
      <c r="D77" t="s">
        <v>44</v>
      </c>
      <c r="E77">
        <v>33</v>
      </c>
      <c r="F77" t="s">
        <v>23</v>
      </c>
      <c r="G77" t="s">
        <v>73</v>
      </c>
      <c r="H77" t="s">
        <v>74</v>
      </c>
      <c r="I77" t="s">
        <v>75</v>
      </c>
      <c r="J77" t="s">
        <v>90</v>
      </c>
      <c r="K77" t="s">
        <v>91</v>
      </c>
      <c r="L77" t="s">
        <v>92</v>
      </c>
      <c r="M77" t="s">
        <v>93</v>
      </c>
      <c r="N77">
        <v>5</v>
      </c>
      <c r="O77">
        <v>450</v>
      </c>
      <c r="P77">
        <v>10</v>
      </c>
      <c r="Q77">
        <v>2025</v>
      </c>
      <c r="R77" t="s">
        <v>61</v>
      </c>
      <c r="S77" t="s">
        <v>21</v>
      </c>
    </row>
    <row r="78" spans="1:19" x14ac:dyDescent="0.3">
      <c r="A78" t="s">
        <v>210</v>
      </c>
      <c r="B78" t="s">
        <v>211</v>
      </c>
      <c r="C78" t="s">
        <v>105</v>
      </c>
      <c r="D78" t="s">
        <v>44</v>
      </c>
      <c r="E78">
        <v>30</v>
      </c>
      <c r="F78" t="s">
        <v>23</v>
      </c>
      <c r="G78" t="s">
        <v>58</v>
      </c>
      <c r="H78" t="s">
        <v>59</v>
      </c>
      <c r="I78" t="s">
        <v>60</v>
      </c>
      <c r="J78" t="s">
        <v>90</v>
      </c>
      <c r="K78" t="s">
        <v>91</v>
      </c>
      <c r="L78" t="s">
        <v>92</v>
      </c>
      <c r="M78" t="s">
        <v>93</v>
      </c>
      <c r="N78">
        <v>5</v>
      </c>
      <c r="O78">
        <v>450</v>
      </c>
      <c r="P78">
        <v>5</v>
      </c>
      <c r="Q78">
        <v>2137.5</v>
      </c>
      <c r="R78" t="s">
        <v>54</v>
      </c>
      <c r="S78" t="s">
        <v>70</v>
      </c>
    </row>
    <row r="79" spans="1:19" x14ac:dyDescent="0.3">
      <c r="A79" t="s">
        <v>212</v>
      </c>
      <c r="B79" t="s">
        <v>136</v>
      </c>
      <c r="C79" t="s">
        <v>64</v>
      </c>
      <c r="D79" t="s">
        <v>22</v>
      </c>
      <c r="E79">
        <v>40</v>
      </c>
      <c r="F79" t="s">
        <v>23</v>
      </c>
      <c r="G79" t="s">
        <v>58</v>
      </c>
      <c r="H79" t="s">
        <v>59</v>
      </c>
      <c r="I79" t="s">
        <v>60</v>
      </c>
      <c r="J79" t="s">
        <v>36</v>
      </c>
      <c r="K79" t="s">
        <v>37</v>
      </c>
      <c r="L79" t="s">
        <v>48</v>
      </c>
      <c r="M79" t="s">
        <v>49</v>
      </c>
      <c r="N79">
        <v>2</v>
      </c>
      <c r="O79">
        <v>3500</v>
      </c>
      <c r="P79">
        <v>0</v>
      </c>
      <c r="Q79">
        <v>7000</v>
      </c>
      <c r="R79" t="s">
        <v>40</v>
      </c>
      <c r="S79" t="s">
        <v>70</v>
      </c>
    </row>
    <row r="80" spans="1:19" x14ac:dyDescent="0.3">
      <c r="A80" t="s">
        <v>213</v>
      </c>
      <c r="B80" t="s">
        <v>214</v>
      </c>
      <c r="C80" t="s">
        <v>78</v>
      </c>
      <c r="D80" t="s">
        <v>44</v>
      </c>
      <c r="E80">
        <v>26</v>
      </c>
      <c r="F80" t="s">
        <v>23</v>
      </c>
      <c r="G80" t="s">
        <v>24</v>
      </c>
      <c r="H80" t="s">
        <v>25</v>
      </c>
      <c r="I80" t="s">
        <v>26</v>
      </c>
      <c r="J80" t="s">
        <v>27</v>
      </c>
      <c r="K80" t="s">
        <v>28</v>
      </c>
      <c r="L80" t="s">
        <v>68</v>
      </c>
      <c r="M80" t="s">
        <v>69</v>
      </c>
      <c r="N80">
        <v>1</v>
      </c>
      <c r="O80">
        <v>2500</v>
      </c>
      <c r="P80">
        <v>15</v>
      </c>
      <c r="Q80">
        <v>2125</v>
      </c>
      <c r="R80" t="s">
        <v>40</v>
      </c>
      <c r="S80" t="s">
        <v>70</v>
      </c>
    </row>
    <row r="81" spans="1:19" x14ac:dyDescent="0.3">
      <c r="A81" t="s">
        <v>215</v>
      </c>
      <c r="B81" t="s">
        <v>88</v>
      </c>
      <c r="C81" t="s">
        <v>64</v>
      </c>
      <c r="D81" t="s">
        <v>22</v>
      </c>
      <c r="E81">
        <v>49</v>
      </c>
      <c r="F81" t="s">
        <v>23</v>
      </c>
      <c r="G81" t="s">
        <v>45</v>
      </c>
      <c r="H81" t="s">
        <v>46</v>
      </c>
      <c r="I81" t="s">
        <v>47</v>
      </c>
      <c r="J81" t="s">
        <v>79</v>
      </c>
      <c r="K81" t="s">
        <v>80</v>
      </c>
      <c r="L81" t="s">
        <v>81</v>
      </c>
      <c r="M81" t="s">
        <v>82</v>
      </c>
      <c r="N81">
        <v>1</v>
      </c>
      <c r="O81">
        <v>2800</v>
      </c>
      <c r="P81">
        <v>5</v>
      </c>
      <c r="Q81">
        <v>2660</v>
      </c>
      <c r="R81" t="s">
        <v>54</v>
      </c>
      <c r="S81" t="s">
        <v>21</v>
      </c>
    </row>
    <row r="82" spans="1:19" x14ac:dyDescent="0.3">
      <c r="A82" t="s">
        <v>216</v>
      </c>
      <c r="B82" t="s">
        <v>211</v>
      </c>
      <c r="C82" t="s">
        <v>21</v>
      </c>
      <c r="D82" t="s">
        <v>22</v>
      </c>
      <c r="E82">
        <v>39</v>
      </c>
      <c r="F82" t="s">
        <v>23</v>
      </c>
      <c r="G82" t="s">
        <v>45</v>
      </c>
      <c r="H82" t="s">
        <v>46</v>
      </c>
      <c r="I82" t="s">
        <v>47</v>
      </c>
      <c r="J82" t="s">
        <v>90</v>
      </c>
      <c r="K82" t="s">
        <v>91</v>
      </c>
      <c r="L82" t="s">
        <v>92</v>
      </c>
      <c r="M82" t="s">
        <v>93</v>
      </c>
      <c r="N82">
        <v>2</v>
      </c>
      <c r="O82">
        <v>450</v>
      </c>
      <c r="P82">
        <v>10</v>
      </c>
      <c r="Q82">
        <v>810</v>
      </c>
      <c r="R82" t="s">
        <v>40</v>
      </c>
      <c r="S82" t="s">
        <v>70</v>
      </c>
    </row>
    <row r="83" spans="1:19" x14ac:dyDescent="0.3">
      <c r="A83" t="s">
        <v>217</v>
      </c>
      <c r="B83" t="s">
        <v>218</v>
      </c>
      <c r="C83" t="s">
        <v>21</v>
      </c>
      <c r="D83" t="s">
        <v>44</v>
      </c>
      <c r="E83">
        <v>39</v>
      </c>
      <c r="F83" t="s">
        <v>23</v>
      </c>
      <c r="G83" t="s">
        <v>65</v>
      </c>
      <c r="H83" t="s">
        <v>66</v>
      </c>
      <c r="I83" t="s">
        <v>67</v>
      </c>
      <c r="J83" t="s">
        <v>36</v>
      </c>
      <c r="K83" t="s">
        <v>37</v>
      </c>
      <c r="L83" t="s">
        <v>48</v>
      </c>
      <c r="M83" t="s">
        <v>49</v>
      </c>
      <c r="N83">
        <v>4</v>
      </c>
      <c r="O83">
        <v>3500</v>
      </c>
      <c r="P83">
        <v>10</v>
      </c>
      <c r="Q83">
        <v>12600</v>
      </c>
      <c r="R83" t="s">
        <v>54</v>
      </c>
      <c r="S83" t="s">
        <v>21</v>
      </c>
    </row>
    <row r="84" spans="1:19" x14ac:dyDescent="0.3">
      <c r="A84" t="s">
        <v>219</v>
      </c>
      <c r="B84" t="s">
        <v>220</v>
      </c>
      <c r="C84" t="s">
        <v>53</v>
      </c>
      <c r="D84" t="s">
        <v>44</v>
      </c>
      <c r="E84">
        <v>21</v>
      </c>
      <c r="F84" t="s">
        <v>23</v>
      </c>
      <c r="G84" t="s">
        <v>65</v>
      </c>
      <c r="H84" t="s">
        <v>66</v>
      </c>
      <c r="I84" t="s">
        <v>67</v>
      </c>
      <c r="J84" t="s">
        <v>36</v>
      </c>
      <c r="K84" t="s">
        <v>37</v>
      </c>
      <c r="L84" t="s">
        <v>38</v>
      </c>
      <c r="M84" t="s">
        <v>39</v>
      </c>
      <c r="N84">
        <v>1</v>
      </c>
      <c r="O84">
        <v>6500</v>
      </c>
      <c r="P84">
        <v>15</v>
      </c>
      <c r="Q84">
        <v>5525</v>
      </c>
      <c r="R84" t="s">
        <v>61</v>
      </c>
      <c r="S84" t="s">
        <v>21</v>
      </c>
    </row>
    <row r="85" spans="1:19" x14ac:dyDescent="0.3">
      <c r="A85" t="s">
        <v>221</v>
      </c>
      <c r="B85" t="s">
        <v>52</v>
      </c>
      <c r="C85" t="s">
        <v>57</v>
      </c>
      <c r="D85" t="s">
        <v>22</v>
      </c>
      <c r="E85">
        <v>24</v>
      </c>
      <c r="F85" t="s">
        <v>23</v>
      </c>
      <c r="G85" t="s">
        <v>45</v>
      </c>
      <c r="H85" t="s">
        <v>46</v>
      </c>
      <c r="I85" t="s">
        <v>47</v>
      </c>
      <c r="J85" t="s">
        <v>79</v>
      </c>
      <c r="K85" t="s">
        <v>80</v>
      </c>
      <c r="L85" t="s">
        <v>81</v>
      </c>
      <c r="M85" t="s">
        <v>82</v>
      </c>
      <c r="N85">
        <v>4</v>
      </c>
      <c r="O85">
        <v>2800</v>
      </c>
      <c r="P85">
        <v>0</v>
      </c>
      <c r="Q85">
        <v>11200</v>
      </c>
      <c r="R85" t="s">
        <v>61</v>
      </c>
      <c r="S85" t="s">
        <v>70</v>
      </c>
    </row>
    <row r="86" spans="1:19" x14ac:dyDescent="0.3">
      <c r="A86" t="s">
        <v>222</v>
      </c>
      <c r="B86" t="s">
        <v>223</v>
      </c>
      <c r="C86" t="s">
        <v>43</v>
      </c>
      <c r="D86" t="s">
        <v>22</v>
      </c>
      <c r="E86">
        <v>42</v>
      </c>
      <c r="F86" t="s">
        <v>23</v>
      </c>
      <c r="G86" t="s">
        <v>58</v>
      </c>
      <c r="H86" t="s">
        <v>59</v>
      </c>
      <c r="I86" t="s">
        <v>60</v>
      </c>
      <c r="J86" t="s">
        <v>27</v>
      </c>
      <c r="K86" t="s">
        <v>28</v>
      </c>
      <c r="L86" t="s">
        <v>29</v>
      </c>
      <c r="M86" t="s">
        <v>30</v>
      </c>
      <c r="N86">
        <v>3</v>
      </c>
      <c r="O86">
        <v>1200</v>
      </c>
      <c r="P86">
        <v>10</v>
      </c>
      <c r="Q86">
        <v>3240</v>
      </c>
      <c r="R86" t="s">
        <v>54</v>
      </c>
      <c r="S86" t="s">
        <v>70</v>
      </c>
    </row>
    <row r="87" spans="1:19" x14ac:dyDescent="0.3">
      <c r="A87" t="s">
        <v>224</v>
      </c>
      <c r="B87" t="s">
        <v>225</v>
      </c>
      <c r="C87" t="s">
        <v>43</v>
      </c>
      <c r="D87" t="s">
        <v>44</v>
      </c>
      <c r="E87">
        <v>59</v>
      </c>
      <c r="F87" t="s">
        <v>23</v>
      </c>
      <c r="G87" t="s">
        <v>58</v>
      </c>
      <c r="H87" t="s">
        <v>59</v>
      </c>
      <c r="I87" t="s">
        <v>60</v>
      </c>
      <c r="J87" t="s">
        <v>27</v>
      </c>
      <c r="K87" t="s">
        <v>28</v>
      </c>
      <c r="L87" t="s">
        <v>29</v>
      </c>
      <c r="M87" t="s">
        <v>30</v>
      </c>
      <c r="N87">
        <v>4</v>
      </c>
      <c r="O87">
        <v>1200</v>
      </c>
      <c r="P87">
        <v>10</v>
      </c>
      <c r="Q87">
        <v>4320</v>
      </c>
      <c r="R87" t="s">
        <v>40</v>
      </c>
      <c r="S87" t="s">
        <v>70</v>
      </c>
    </row>
    <row r="88" spans="1:19" x14ac:dyDescent="0.3">
      <c r="A88" t="s">
        <v>226</v>
      </c>
      <c r="B88" t="s">
        <v>84</v>
      </c>
      <c r="C88" t="s">
        <v>64</v>
      </c>
      <c r="D88" t="s">
        <v>22</v>
      </c>
      <c r="E88">
        <v>44</v>
      </c>
      <c r="F88" t="s">
        <v>23</v>
      </c>
      <c r="G88" t="s">
        <v>65</v>
      </c>
      <c r="H88" t="s">
        <v>66</v>
      </c>
      <c r="I88" t="s">
        <v>67</v>
      </c>
      <c r="J88" t="s">
        <v>27</v>
      </c>
      <c r="K88" t="s">
        <v>28</v>
      </c>
      <c r="L88" t="s">
        <v>68</v>
      </c>
      <c r="M88" t="s">
        <v>69</v>
      </c>
      <c r="N88">
        <v>3</v>
      </c>
      <c r="O88">
        <v>2500</v>
      </c>
      <c r="P88">
        <v>10</v>
      </c>
      <c r="Q88">
        <v>6750</v>
      </c>
      <c r="R88" t="s">
        <v>54</v>
      </c>
      <c r="S88" t="s">
        <v>32</v>
      </c>
    </row>
    <row r="89" spans="1:19" x14ac:dyDescent="0.3">
      <c r="A89" t="s">
        <v>227</v>
      </c>
      <c r="B89" t="s">
        <v>228</v>
      </c>
      <c r="C89" t="s">
        <v>50</v>
      </c>
      <c r="D89" t="s">
        <v>22</v>
      </c>
      <c r="E89">
        <v>20</v>
      </c>
      <c r="F89" t="s">
        <v>23</v>
      </c>
      <c r="G89" t="s">
        <v>24</v>
      </c>
      <c r="H89" t="s">
        <v>25</v>
      </c>
      <c r="I89" t="s">
        <v>26</v>
      </c>
      <c r="J89" t="s">
        <v>27</v>
      </c>
      <c r="K89" t="s">
        <v>28</v>
      </c>
      <c r="L89" t="s">
        <v>29</v>
      </c>
      <c r="M89" t="s">
        <v>30</v>
      </c>
      <c r="N89">
        <v>4</v>
      </c>
      <c r="O89">
        <v>1200</v>
      </c>
      <c r="P89">
        <v>10</v>
      </c>
      <c r="Q89">
        <v>4320</v>
      </c>
      <c r="R89" t="s">
        <v>31</v>
      </c>
      <c r="S89" t="s">
        <v>70</v>
      </c>
    </row>
    <row r="90" spans="1:19" x14ac:dyDescent="0.3">
      <c r="A90" t="s">
        <v>229</v>
      </c>
      <c r="B90" t="s">
        <v>166</v>
      </c>
      <c r="C90" t="s">
        <v>57</v>
      </c>
      <c r="D90" t="s">
        <v>22</v>
      </c>
      <c r="E90">
        <v>30</v>
      </c>
      <c r="F90" t="s">
        <v>23</v>
      </c>
      <c r="G90" t="s">
        <v>73</v>
      </c>
      <c r="H90" t="s">
        <v>74</v>
      </c>
      <c r="I90" t="s">
        <v>75</v>
      </c>
      <c r="J90" t="s">
        <v>27</v>
      </c>
      <c r="K90" t="s">
        <v>28</v>
      </c>
      <c r="L90" t="s">
        <v>68</v>
      </c>
      <c r="M90" t="s">
        <v>69</v>
      </c>
      <c r="N90">
        <v>2</v>
      </c>
      <c r="O90">
        <v>2500</v>
      </c>
      <c r="P90">
        <v>5</v>
      </c>
      <c r="Q90">
        <v>4750</v>
      </c>
      <c r="R90" t="s">
        <v>40</v>
      </c>
      <c r="S90" t="s">
        <v>21</v>
      </c>
    </row>
    <row r="91" spans="1:19" x14ac:dyDescent="0.3">
      <c r="A91" t="s">
        <v>230</v>
      </c>
      <c r="B91" t="s">
        <v>77</v>
      </c>
      <c r="C91" t="s">
        <v>102</v>
      </c>
      <c r="D91" t="s">
        <v>22</v>
      </c>
      <c r="E91">
        <v>36</v>
      </c>
      <c r="F91" t="s">
        <v>23</v>
      </c>
      <c r="G91" t="s">
        <v>73</v>
      </c>
      <c r="H91" t="s">
        <v>74</v>
      </c>
      <c r="I91" t="s">
        <v>75</v>
      </c>
      <c r="J91" t="s">
        <v>36</v>
      </c>
      <c r="K91" t="s">
        <v>37</v>
      </c>
      <c r="L91" t="s">
        <v>48</v>
      </c>
      <c r="M91" t="s">
        <v>49</v>
      </c>
      <c r="N91">
        <v>4</v>
      </c>
      <c r="O91">
        <v>3500</v>
      </c>
      <c r="P91">
        <v>15</v>
      </c>
      <c r="Q91">
        <v>11900</v>
      </c>
      <c r="R91" t="s">
        <v>31</v>
      </c>
      <c r="S91" t="s">
        <v>32</v>
      </c>
    </row>
    <row r="92" spans="1:19" x14ac:dyDescent="0.3">
      <c r="A92" t="s">
        <v>231</v>
      </c>
      <c r="B92" t="s">
        <v>184</v>
      </c>
      <c r="C92" t="s">
        <v>43</v>
      </c>
      <c r="D92" t="s">
        <v>44</v>
      </c>
      <c r="E92">
        <v>35</v>
      </c>
      <c r="F92" t="s">
        <v>23</v>
      </c>
      <c r="G92" t="s">
        <v>24</v>
      </c>
      <c r="H92" t="s">
        <v>25</v>
      </c>
      <c r="I92" t="s">
        <v>26</v>
      </c>
      <c r="J92" t="s">
        <v>79</v>
      </c>
      <c r="K92" t="s">
        <v>80</v>
      </c>
      <c r="L92" t="s">
        <v>81</v>
      </c>
      <c r="M92" t="s">
        <v>82</v>
      </c>
      <c r="N92">
        <v>1</v>
      </c>
      <c r="O92">
        <v>2800</v>
      </c>
      <c r="P92">
        <v>15</v>
      </c>
      <c r="Q92">
        <v>2380</v>
      </c>
      <c r="R92" t="s">
        <v>61</v>
      </c>
      <c r="S92" t="s">
        <v>50</v>
      </c>
    </row>
    <row r="93" spans="1:19" x14ac:dyDescent="0.3">
      <c r="A93" t="s">
        <v>232</v>
      </c>
      <c r="B93" t="s">
        <v>233</v>
      </c>
      <c r="C93" t="s">
        <v>64</v>
      </c>
      <c r="D93" t="s">
        <v>22</v>
      </c>
      <c r="E93">
        <v>42</v>
      </c>
      <c r="F93" t="s">
        <v>23</v>
      </c>
      <c r="G93" t="s">
        <v>58</v>
      </c>
      <c r="H93" t="s">
        <v>59</v>
      </c>
      <c r="I93" t="s">
        <v>60</v>
      </c>
      <c r="J93" t="s">
        <v>79</v>
      </c>
      <c r="K93" t="s">
        <v>80</v>
      </c>
      <c r="L93" t="s">
        <v>81</v>
      </c>
      <c r="M93" t="s">
        <v>82</v>
      </c>
      <c r="N93">
        <v>4</v>
      </c>
      <c r="O93">
        <v>2800</v>
      </c>
      <c r="P93">
        <v>0</v>
      </c>
      <c r="Q93">
        <v>11200</v>
      </c>
      <c r="R93" t="s">
        <v>54</v>
      </c>
      <c r="S93" t="s">
        <v>21</v>
      </c>
    </row>
    <row r="94" spans="1:19" x14ac:dyDescent="0.3">
      <c r="A94" t="s">
        <v>234</v>
      </c>
      <c r="B94" t="s">
        <v>235</v>
      </c>
      <c r="C94" t="s">
        <v>57</v>
      </c>
      <c r="D94" t="s">
        <v>44</v>
      </c>
      <c r="E94">
        <v>40</v>
      </c>
      <c r="F94" t="s">
        <v>23</v>
      </c>
      <c r="G94" t="s">
        <v>65</v>
      </c>
      <c r="H94" t="s">
        <v>66</v>
      </c>
      <c r="I94" t="s">
        <v>67</v>
      </c>
      <c r="J94" t="s">
        <v>36</v>
      </c>
      <c r="K94" t="s">
        <v>37</v>
      </c>
      <c r="L94" t="s">
        <v>38</v>
      </c>
      <c r="M94" t="s">
        <v>39</v>
      </c>
      <c r="N94">
        <v>1</v>
      </c>
      <c r="O94">
        <v>6500</v>
      </c>
      <c r="P94">
        <v>15</v>
      </c>
      <c r="Q94">
        <v>5525</v>
      </c>
      <c r="R94" t="s">
        <v>40</v>
      </c>
      <c r="S94" t="s">
        <v>32</v>
      </c>
    </row>
    <row r="95" spans="1:19" x14ac:dyDescent="0.3">
      <c r="A95" t="s">
        <v>236</v>
      </c>
      <c r="B95" t="s">
        <v>202</v>
      </c>
      <c r="C95" t="s">
        <v>64</v>
      </c>
      <c r="D95" t="s">
        <v>22</v>
      </c>
      <c r="E95">
        <v>41</v>
      </c>
      <c r="F95" t="s">
        <v>23</v>
      </c>
      <c r="G95" t="s">
        <v>58</v>
      </c>
      <c r="H95" t="s">
        <v>59</v>
      </c>
      <c r="I95" t="s">
        <v>60</v>
      </c>
      <c r="J95" t="s">
        <v>27</v>
      </c>
      <c r="K95" t="s">
        <v>28</v>
      </c>
      <c r="L95" t="s">
        <v>68</v>
      </c>
      <c r="M95" t="s">
        <v>69</v>
      </c>
      <c r="N95">
        <v>4</v>
      </c>
      <c r="O95">
        <v>2500</v>
      </c>
      <c r="P95">
        <v>10</v>
      </c>
      <c r="Q95">
        <v>9000</v>
      </c>
      <c r="R95" t="s">
        <v>54</v>
      </c>
      <c r="S95" t="s">
        <v>32</v>
      </c>
    </row>
    <row r="96" spans="1:19" x14ac:dyDescent="0.3">
      <c r="A96" t="s">
        <v>237</v>
      </c>
      <c r="B96" t="s">
        <v>238</v>
      </c>
      <c r="C96" t="s">
        <v>21</v>
      </c>
      <c r="D96" t="s">
        <v>22</v>
      </c>
      <c r="E96">
        <v>38</v>
      </c>
      <c r="F96" t="s">
        <v>23</v>
      </c>
      <c r="G96" t="s">
        <v>58</v>
      </c>
      <c r="H96" t="s">
        <v>59</v>
      </c>
      <c r="I96" t="s">
        <v>60</v>
      </c>
      <c r="J96" t="s">
        <v>79</v>
      </c>
      <c r="K96" t="s">
        <v>80</v>
      </c>
      <c r="L96" t="s">
        <v>81</v>
      </c>
      <c r="M96" t="s">
        <v>82</v>
      </c>
      <c r="N96">
        <v>3</v>
      </c>
      <c r="O96">
        <v>2800</v>
      </c>
      <c r="P96">
        <v>0</v>
      </c>
      <c r="Q96">
        <v>8400</v>
      </c>
      <c r="R96" t="s">
        <v>54</v>
      </c>
      <c r="S96" t="s">
        <v>21</v>
      </c>
    </row>
    <row r="97" spans="1:19" x14ac:dyDescent="0.3">
      <c r="A97" t="s">
        <v>239</v>
      </c>
      <c r="B97" t="s">
        <v>225</v>
      </c>
      <c r="C97" t="s">
        <v>105</v>
      </c>
      <c r="D97" t="s">
        <v>22</v>
      </c>
      <c r="E97">
        <v>37</v>
      </c>
      <c r="F97" t="s">
        <v>23</v>
      </c>
      <c r="G97" t="s">
        <v>73</v>
      </c>
      <c r="H97" t="s">
        <v>74</v>
      </c>
      <c r="I97" t="s">
        <v>75</v>
      </c>
      <c r="J97" t="s">
        <v>36</v>
      </c>
      <c r="K97" t="s">
        <v>37</v>
      </c>
      <c r="L97" t="s">
        <v>38</v>
      </c>
      <c r="M97" t="s">
        <v>39</v>
      </c>
      <c r="N97">
        <v>4</v>
      </c>
      <c r="O97">
        <v>6500</v>
      </c>
      <c r="P97">
        <v>10</v>
      </c>
      <c r="Q97">
        <v>23400</v>
      </c>
      <c r="R97" t="s">
        <v>54</v>
      </c>
      <c r="S97" t="s">
        <v>21</v>
      </c>
    </row>
    <row r="98" spans="1:19" x14ac:dyDescent="0.3">
      <c r="A98" t="s">
        <v>240</v>
      </c>
      <c r="B98" t="s">
        <v>241</v>
      </c>
      <c r="C98" t="s">
        <v>35</v>
      </c>
      <c r="D98" t="s">
        <v>22</v>
      </c>
      <c r="E98">
        <v>51</v>
      </c>
      <c r="F98" t="s">
        <v>23</v>
      </c>
      <c r="G98" t="s">
        <v>24</v>
      </c>
      <c r="H98" t="s">
        <v>25</v>
      </c>
      <c r="I98" t="s">
        <v>26</v>
      </c>
      <c r="J98" t="s">
        <v>90</v>
      </c>
      <c r="K98" t="s">
        <v>91</v>
      </c>
      <c r="L98" t="s">
        <v>92</v>
      </c>
      <c r="M98" t="s">
        <v>93</v>
      </c>
      <c r="N98">
        <v>4</v>
      </c>
      <c r="O98">
        <v>450</v>
      </c>
      <c r="P98">
        <v>10</v>
      </c>
      <c r="Q98">
        <v>1620</v>
      </c>
      <c r="R98" t="s">
        <v>31</v>
      </c>
      <c r="S98" t="s">
        <v>50</v>
      </c>
    </row>
    <row r="99" spans="1:19" x14ac:dyDescent="0.3">
      <c r="A99" t="s">
        <v>242</v>
      </c>
      <c r="B99" t="s">
        <v>52</v>
      </c>
      <c r="C99" t="s">
        <v>78</v>
      </c>
      <c r="D99" t="s">
        <v>44</v>
      </c>
      <c r="E99">
        <v>18</v>
      </c>
      <c r="F99" t="s">
        <v>23</v>
      </c>
      <c r="G99" t="s">
        <v>73</v>
      </c>
      <c r="H99" t="s">
        <v>74</v>
      </c>
      <c r="I99" t="s">
        <v>75</v>
      </c>
      <c r="J99" t="s">
        <v>27</v>
      </c>
      <c r="K99" t="s">
        <v>28</v>
      </c>
      <c r="L99" t="s">
        <v>29</v>
      </c>
      <c r="M99" t="s">
        <v>30</v>
      </c>
      <c r="N99">
        <v>4</v>
      </c>
      <c r="O99">
        <v>1200</v>
      </c>
      <c r="P99">
        <v>15</v>
      </c>
      <c r="Q99">
        <v>4080</v>
      </c>
      <c r="R99" t="s">
        <v>54</v>
      </c>
      <c r="S99" t="s">
        <v>70</v>
      </c>
    </row>
    <row r="100" spans="1:19" x14ac:dyDescent="0.3">
      <c r="A100" t="s">
        <v>243</v>
      </c>
      <c r="B100" t="s">
        <v>244</v>
      </c>
      <c r="C100" t="s">
        <v>64</v>
      </c>
      <c r="D100" t="s">
        <v>22</v>
      </c>
      <c r="E100">
        <v>25</v>
      </c>
      <c r="F100" t="s">
        <v>23</v>
      </c>
      <c r="G100" t="s">
        <v>24</v>
      </c>
      <c r="H100" t="s">
        <v>25</v>
      </c>
      <c r="I100" t="s">
        <v>26</v>
      </c>
      <c r="J100" t="s">
        <v>79</v>
      </c>
      <c r="K100" t="s">
        <v>80</v>
      </c>
      <c r="L100" t="s">
        <v>81</v>
      </c>
      <c r="M100" t="s">
        <v>82</v>
      </c>
      <c r="N100">
        <v>2</v>
      </c>
      <c r="O100">
        <v>2800</v>
      </c>
      <c r="P100">
        <v>0</v>
      </c>
      <c r="Q100">
        <v>5600</v>
      </c>
      <c r="R100" t="s">
        <v>40</v>
      </c>
      <c r="S100" t="s">
        <v>21</v>
      </c>
    </row>
    <row r="101" spans="1:19" x14ac:dyDescent="0.3">
      <c r="A101" t="s">
        <v>245</v>
      </c>
      <c r="B101" t="s">
        <v>246</v>
      </c>
      <c r="C101" t="s">
        <v>50</v>
      </c>
      <c r="D101" t="s">
        <v>44</v>
      </c>
      <c r="E101">
        <v>22</v>
      </c>
      <c r="F101" t="s">
        <v>23</v>
      </c>
      <c r="G101" t="s">
        <v>58</v>
      </c>
      <c r="H101" t="s">
        <v>59</v>
      </c>
      <c r="I101" t="s">
        <v>60</v>
      </c>
      <c r="J101" t="s">
        <v>27</v>
      </c>
      <c r="K101" t="s">
        <v>28</v>
      </c>
      <c r="L101" t="s">
        <v>29</v>
      </c>
      <c r="M101" t="s">
        <v>30</v>
      </c>
      <c r="N101">
        <v>2</v>
      </c>
      <c r="O101">
        <v>1200</v>
      </c>
      <c r="P101">
        <v>15</v>
      </c>
      <c r="Q101">
        <v>2040</v>
      </c>
      <c r="R101" t="s">
        <v>61</v>
      </c>
      <c r="S101" t="s">
        <v>32</v>
      </c>
    </row>
    <row r="102" spans="1:19" x14ac:dyDescent="0.3">
      <c r="A102" t="s">
        <v>247</v>
      </c>
      <c r="B102" t="s">
        <v>214</v>
      </c>
      <c r="C102" t="s">
        <v>35</v>
      </c>
      <c r="D102" t="s">
        <v>22</v>
      </c>
      <c r="E102">
        <v>30</v>
      </c>
      <c r="F102" t="s">
        <v>23</v>
      </c>
      <c r="G102" t="s">
        <v>73</v>
      </c>
      <c r="H102" t="s">
        <v>74</v>
      </c>
      <c r="I102" t="s">
        <v>75</v>
      </c>
      <c r="J102" t="s">
        <v>27</v>
      </c>
      <c r="K102" t="s">
        <v>28</v>
      </c>
      <c r="L102" t="s">
        <v>68</v>
      </c>
      <c r="M102" t="s">
        <v>69</v>
      </c>
      <c r="N102">
        <v>2</v>
      </c>
      <c r="O102">
        <v>2500</v>
      </c>
      <c r="P102">
        <v>15</v>
      </c>
      <c r="Q102">
        <v>4250</v>
      </c>
      <c r="R102" t="s">
        <v>31</v>
      </c>
      <c r="S102" t="s">
        <v>32</v>
      </c>
    </row>
    <row r="103" spans="1:19" x14ac:dyDescent="0.3">
      <c r="A103" t="s">
        <v>248</v>
      </c>
      <c r="B103" t="s">
        <v>140</v>
      </c>
      <c r="C103" t="s">
        <v>21</v>
      </c>
      <c r="D103" t="s">
        <v>22</v>
      </c>
      <c r="E103">
        <v>41</v>
      </c>
      <c r="F103" t="s">
        <v>23</v>
      </c>
      <c r="G103" t="s">
        <v>73</v>
      </c>
      <c r="H103" t="s">
        <v>74</v>
      </c>
      <c r="I103" t="s">
        <v>75</v>
      </c>
      <c r="J103" t="s">
        <v>27</v>
      </c>
      <c r="K103" t="s">
        <v>28</v>
      </c>
      <c r="L103" t="s">
        <v>29</v>
      </c>
      <c r="M103" t="s">
        <v>30</v>
      </c>
      <c r="N103">
        <v>1</v>
      </c>
      <c r="O103">
        <v>1200</v>
      </c>
      <c r="P103">
        <v>15</v>
      </c>
      <c r="Q103">
        <v>1020</v>
      </c>
      <c r="R103" t="s">
        <v>54</v>
      </c>
      <c r="S103" t="s">
        <v>50</v>
      </c>
    </row>
    <row r="104" spans="1:19" x14ac:dyDescent="0.3">
      <c r="A104" t="s">
        <v>249</v>
      </c>
      <c r="B104" t="s">
        <v>77</v>
      </c>
      <c r="C104" t="s">
        <v>21</v>
      </c>
      <c r="D104" t="s">
        <v>44</v>
      </c>
      <c r="E104">
        <v>39</v>
      </c>
      <c r="F104" t="s">
        <v>23</v>
      </c>
      <c r="G104" t="s">
        <v>24</v>
      </c>
      <c r="H104" t="s">
        <v>25</v>
      </c>
      <c r="I104" t="s">
        <v>26</v>
      </c>
      <c r="J104" t="s">
        <v>36</v>
      </c>
      <c r="K104" t="s">
        <v>37</v>
      </c>
      <c r="L104" t="s">
        <v>48</v>
      </c>
      <c r="M104" t="s">
        <v>49</v>
      </c>
      <c r="N104">
        <v>2</v>
      </c>
      <c r="O104">
        <v>3500</v>
      </c>
      <c r="P104">
        <v>10</v>
      </c>
      <c r="Q104">
        <v>6300</v>
      </c>
      <c r="R104" t="s">
        <v>40</v>
      </c>
      <c r="S104" t="s">
        <v>21</v>
      </c>
    </row>
    <row r="105" spans="1:19" x14ac:dyDescent="0.3">
      <c r="A105" t="s">
        <v>250</v>
      </c>
      <c r="B105" t="s">
        <v>251</v>
      </c>
      <c r="C105" t="s">
        <v>57</v>
      </c>
      <c r="D105" t="s">
        <v>22</v>
      </c>
      <c r="E105">
        <v>32</v>
      </c>
      <c r="F105" t="s">
        <v>23</v>
      </c>
      <c r="G105" t="s">
        <v>65</v>
      </c>
      <c r="H105" t="s">
        <v>66</v>
      </c>
      <c r="I105" t="s">
        <v>67</v>
      </c>
      <c r="J105" t="s">
        <v>36</v>
      </c>
      <c r="K105" t="s">
        <v>37</v>
      </c>
      <c r="L105" t="s">
        <v>48</v>
      </c>
      <c r="M105" t="s">
        <v>49</v>
      </c>
      <c r="N105">
        <v>5</v>
      </c>
      <c r="O105">
        <v>3500</v>
      </c>
      <c r="P105">
        <v>0</v>
      </c>
      <c r="Q105">
        <v>17500</v>
      </c>
      <c r="R105" t="s">
        <v>61</v>
      </c>
      <c r="S105" t="s">
        <v>50</v>
      </c>
    </row>
    <row r="106" spans="1:19" x14ac:dyDescent="0.3">
      <c r="A106" t="s">
        <v>252</v>
      </c>
      <c r="B106" t="s">
        <v>110</v>
      </c>
      <c r="C106" t="s">
        <v>43</v>
      </c>
      <c r="D106" t="s">
        <v>22</v>
      </c>
      <c r="E106">
        <v>55</v>
      </c>
      <c r="F106" t="s">
        <v>23</v>
      </c>
      <c r="G106" t="s">
        <v>58</v>
      </c>
      <c r="H106" t="s">
        <v>59</v>
      </c>
      <c r="I106" t="s">
        <v>60</v>
      </c>
      <c r="J106" t="s">
        <v>90</v>
      </c>
      <c r="K106" t="s">
        <v>91</v>
      </c>
      <c r="L106" t="s">
        <v>92</v>
      </c>
      <c r="M106" t="s">
        <v>93</v>
      </c>
      <c r="N106">
        <v>3</v>
      </c>
      <c r="O106">
        <v>450</v>
      </c>
      <c r="P106">
        <v>0</v>
      </c>
      <c r="Q106">
        <v>1350</v>
      </c>
      <c r="R106" t="s">
        <v>54</v>
      </c>
      <c r="S106" t="s">
        <v>70</v>
      </c>
    </row>
    <row r="107" spans="1:19" x14ac:dyDescent="0.3">
      <c r="A107" t="s">
        <v>253</v>
      </c>
      <c r="B107" t="s">
        <v>72</v>
      </c>
      <c r="C107" t="s">
        <v>43</v>
      </c>
      <c r="D107" t="s">
        <v>22</v>
      </c>
      <c r="E107">
        <v>51</v>
      </c>
      <c r="F107" t="s">
        <v>23</v>
      </c>
      <c r="G107" t="s">
        <v>73</v>
      </c>
      <c r="H107" t="s">
        <v>74</v>
      </c>
      <c r="I107" t="s">
        <v>75</v>
      </c>
      <c r="J107" t="s">
        <v>90</v>
      </c>
      <c r="K107" t="s">
        <v>91</v>
      </c>
      <c r="L107" t="s">
        <v>92</v>
      </c>
      <c r="M107" t="s">
        <v>93</v>
      </c>
      <c r="N107">
        <v>1</v>
      </c>
      <c r="O107">
        <v>450</v>
      </c>
      <c r="P107">
        <v>15</v>
      </c>
      <c r="Q107">
        <v>382.5</v>
      </c>
      <c r="R107" t="s">
        <v>40</v>
      </c>
      <c r="S107" t="s">
        <v>32</v>
      </c>
    </row>
    <row r="108" spans="1:19" x14ac:dyDescent="0.3">
      <c r="A108" t="s">
        <v>254</v>
      </c>
      <c r="B108" t="s">
        <v>255</v>
      </c>
      <c r="C108" t="s">
        <v>35</v>
      </c>
      <c r="D108" t="s">
        <v>44</v>
      </c>
      <c r="E108">
        <v>40</v>
      </c>
      <c r="F108" t="s">
        <v>23</v>
      </c>
      <c r="G108" t="s">
        <v>58</v>
      </c>
      <c r="H108" t="s">
        <v>59</v>
      </c>
      <c r="I108" t="s">
        <v>60</v>
      </c>
      <c r="J108" t="s">
        <v>27</v>
      </c>
      <c r="K108" t="s">
        <v>28</v>
      </c>
      <c r="L108" t="s">
        <v>29</v>
      </c>
      <c r="M108" t="s">
        <v>30</v>
      </c>
      <c r="N108">
        <v>2</v>
      </c>
      <c r="O108">
        <v>1200</v>
      </c>
      <c r="P108">
        <v>15</v>
      </c>
      <c r="Q108">
        <v>2040</v>
      </c>
      <c r="R108" t="s">
        <v>54</v>
      </c>
      <c r="S108" t="s">
        <v>21</v>
      </c>
    </row>
    <row r="109" spans="1:19" x14ac:dyDescent="0.3">
      <c r="A109" t="s">
        <v>256</v>
      </c>
      <c r="B109" t="s">
        <v>257</v>
      </c>
      <c r="C109" t="s">
        <v>102</v>
      </c>
      <c r="D109" t="s">
        <v>44</v>
      </c>
      <c r="E109">
        <v>35</v>
      </c>
      <c r="F109" t="s">
        <v>23</v>
      </c>
      <c r="G109" t="s">
        <v>65</v>
      </c>
      <c r="H109" t="s">
        <v>66</v>
      </c>
      <c r="I109" t="s">
        <v>67</v>
      </c>
      <c r="J109" t="s">
        <v>90</v>
      </c>
      <c r="K109" t="s">
        <v>91</v>
      </c>
      <c r="L109" t="s">
        <v>92</v>
      </c>
      <c r="M109" t="s">
        <v>93</v>
      </c>
      <c r="N109">
        <v>2</v>
      </c>
      <c r="O109">
        <v>450</v>
      </c>
      <c r="P109">
        <v>15</v>
      </c>
      <c r="Q109">
        <v>765</v>
      </c>
      <c r="R109" t="s">
        <v>54</v>
      </c>
      <c r="S109" t="s">
        <v>50</v>
      </c>
    </row>
    <row r="110" spans="1:19" x14ac:dyDescent="0.3">
      <c r="A110" t="s">
        <v>258</v>
      </c>
      <c r="B110" t="s">
        <v>259</v>
      </c>
      <c r="C110" t="s">
        <v>43</v>
      </c>
      <c r="D110" t="s">
        <v>22</v>
      </c>
      <c r="E110">
        <v>33</v>
      </c>
      <c r="F110" t="s">
        <v>23</v>
      </c>
      <c r="G110" t="s">
        <v>58</v>
      </c>
      <c r="H110" t="s">
        <v>59</v>
      </c>
      <c r="I110" t="s">
        <v>60</v>
      </c>
      <c r="J110" t="s">
        <v>27</v>
      </c>
      <c r="K110" t="s">
        <v>28</v>
      </c>
      <c r="L110" t="s">
        <v>29</v>
      </c>
      <c r="M110" t="s">
        <v>30</v>
      </c>
      <c r="N110">
        <v>5</v>
      </c>
      <c r="O110">
        <v>1200</v>
      </c>
      <c r="P110">
        <v>15</v>
      </c>
      <c r="Q110">
        <v>5100</v>
      </c>
      <c r="R110" t="s">
        <v>31</v>
      </c>
      <c r="S110" t="s">
        <v>70</v>
      </c>
    </row>
    <row r="111" spans="1:19" x14ac:dyDescent="0.3">
      <c r="A111" t="s">
        <v>260</v>
      </c>
      <c r="B111" t="s">
        <v>261</v>
      </c>
      <c r="C111" t="s">
        <v>78</v>
      </c>
      <c r="D111" t="s">
        <v>44</v>
      </c>
      <c r="E111">
        <v>23</v>
      </c>
      <c r="F111" t="s">
        <v>23</v>
      </c>
      <c r="G111" t="s">
        <v>65</v>
      </c>
      <c r="H111" t="s">
        <v>66</v>
      </c>
      <c r="I111" t="s">
        <v>67</v>
      </c>
      <c r="J111" t="s">
        <v>90</v>
      </c>
      <c r="K111" t="s">
        <v>91</v>
      </c>
      <c r="L111" t="s">
        <v>92</v>
      </c>
      <c r="M111" t="s">
        <v>93</v>
      </c>
      <c r="N111">
        <v>1</v>
      </c>
      <c r="O111">
        <v>450</v>
      </c>
      <c r="P111">
        <v>15</v>
      </c>
      <c r="Q111">
        <v>382.5</v>
      </c>
      <c r="R111" t="s">
        <v>31</v>
      </c>
      <c r="S111" t="s">
        <v>21</v>
      </c>
    </row>
    <row r="112" spans="1:19" x14ac:dyDescent="0.3">
      <c r="A112" t="s">
        <v>262</v>
      </c>
      <c r="B112" t="s">
        <v>263</v>
      </c>
      <c r="C112" t="s">
        <v>50</v>
      </c>
      <c r="D112" t="s">
        <v>44</v>
      </c>
      <c r="E112">
        <v>59</v>
      </c>
      <c r="F112" t="s">
        <v>23</v>
      </c>
      <c r="G112" t="s">
        <v>45</v>
      </c>
      <c r="H112" t="s">
        <v>46</v>
      </c>
      <c r="I112" t="s">
        <v>47</v>
      </c>
      <c r="J112" t="s">
        <v>36</v>
      </c>
      <c r="K112" t="s">
        <v>37</v>
      </c>
      <c r="L112" t="s">
        <v>38</v>
      </c>
      <c r="M112" t="s">
        <v>39</v>
      </c>
      <c r="N112">
        <v>2</v>
      </c>
      <c r="O112">
        <v>6500</v>
      </c>
      <c r="P112">
        <v>15</v>
      </c>
      <c r="Q112">
        <v>11050</v>
      </c>
      <c r="R112" t="s">
        <v>54</v>
      </c>
      <c r="S112" t="s">
        <v>70</v>
      </c>
    </row>
    <row r="113" spans="1:19" x14ac:dyDescent="0.3">
      <c r="A113" t="s">
        <v>264</v>
      </c>
      <c r="B113" t="s">
        <v>265</v>
      </c>
      <c r="C113" t="s">
        <v>105</v>
      </c>
      <c r="D113" t="s">
        <v>22</v>
      </c>
      <c r="E113">
        <v>30</v>
      </c>
      <c r="F113" t="s">
        <v>23</v>
      </c>
      <c r="G113" t="s">
        <v>45</v>
      </c>
      <c r="H113" t="s">
        <v>46</v>
      </c>
      <c r="I113" t="s">
        <v>47</v>
      </c>
      <c r="J113" t="s">
        <v>27</v>
      </c>
      <c r="K113" t="s">
        <v>28</v>
      </c>
      <c r="L113" t="s">
        <v>68</v>
      </c>
      <c r="M113" t="s">
        <v>69</v>
      </c>
      <c r="N113">
        <v>4</v>
      </c>
      <c r="O113">
        <v>2500</v>
      </c>
      <c r="P113">
        <v>10</v>
      </c>
      <c r="Q113">
        <v>9000</v>
      </c>
      <c r="R113" t="s">
        <v>40</v>
      </c>
      <c r="S113" t="s">
        <v>50</v>
      </c>
    </row>
    <row r="114" spans="1:19" x14ac:dyDescent="0.3">
      <c r="A114" t="s">
        <v>266</v>
      </c>
      <c r="B114" t="s">
        <v>267</v>
      </c>
      <c r="C114" t="s">
        <v>21</v>
      </c>
      <c r="D114" t="s">
        <v>44</v>
      </c>
      <c r="E114">
        <v>24</v>
      </c>
      <c r="F114" t="s">
        <v>23</v>
      </c>
      <c r="G114" t="s">
        <v>58</v>
      </c>
      <c r="H114" t="s">
        <v>59</v>
      </c>
      <c r="I114" t="s">
        <v>60</v>
      </c>
      <c r="J114" t="s">
        <v>36</v>
      </c>
      <c r="K114" t="s">
        <v>37</v>
      </c>
      <c r="L114" t="s">
        <v>38</v>
      </c>
      <c r="M114" t="s">
        <v>39</v>
      </c>
      <c r="N114">
        <v>1</v>
      </c>
      <c r="O114">
        <v>6500</v>
      </c>
      <c r="P114">
        <v>0</v>
      </c>
      <c r="Q114">
        <v>6500</v>
      </c>
      <c r="R114" t="s">
        <v>61</v>
      </c>
      <c r="S114" t="s">
        <v>70</v>
      </c>
    </row>
    <row r="115" spans="1:19" x14ac:dyDescent="0.3">
      <c r="A115" t="s">
        <v>268</v>
      </c>
      <c r="B115" t="s">
        <v>269</v>
      </c>
      <c r="C115" t="s">
        <v>64</v>
      </c>
      <c r="D115" t="s">
        <v>44</v>
      </c>
      <c r="E115">
        <v>42</v>
      </c>
      <c r="F115" t="s">
        <v>23</v>
      </c>
      <c r="G115" t="s">
        <v>45</v>
      </c>
      <c r="H115" t="s">
        <v>46</v>
      </c>
      <c r="I115" t="s">
        <v>47</v>
      </c>
      <c r="J115" t="s">
        <v>27</v>
      </c>
      <c r="K115" t="s">
        <v>28</v>
      </c>
      <c r="L115" t="s">
        <v>68</v>
      </c>
      <c r="M115" t="s">
        <v>69</v>
      </c>
      <c r="N115">
        <v>3</v>
      </c>
      <c r="O115">
        <v>2500</v>
      </c>
      <c r="P115">
        <v>0</v>
      </c>
      <c r="Q115">
        <v>7500</v>
      </c>
      <c r="R115" t="s">
        <v>40</v>
      </c>
      <c r="S115" t="s">
        <v>32</v>
      </c>
    </row>
    <row r="116" spans="1:19" x14ac:dyDescent="0.3">
      <c r="A116" t="s">
        <v>270</v>
      </c>
      <c r="B116" t="s">
        <v>271</v>
      </c>
      <c r="C116" t="s">
        <v>53</v>
      </c>
      <c r="D116" t="s">
        <v>22</v>
      </c>
      <c r="E116">
        <v>44</v>
      </c>
      <c r="F116" t="s">
        <v>23</v>
      </c>
      <c r="G116" t="s">
        <v>65</v>
      </c>
      <c r="H116" t="s">
        <v>66</v>
      </c>
      <c r="I116" t="s">
        <v>67</v>
      </c>
      <c r="J116" t="s">
        <v>27</v>
      </c>
      <c r="K116" t="s">
        <v>28</v>
      </c>
      <c r="L116" t="s">
        <v>29</v>
      </c>
      <c r="M116" t="s">
        <v>30</v>
      </c>
      <c r="N116">
        <v>1</v>
      </c>
      <c r="O116">
        <v>1200</v>
      </c>
      <c r="P116">
        <v>15</v>
      </c>
      <c r="Q116">
        <v>1020</v>
      </c>
      <c r="R116" t="s">
        <v>54</v>
      </c>
      <c r="S116" t="s">
        <v>32</v>
      </c>
    </row>
    <row r="117" spans="1:19" x14ac:dyDescent="0.3">
      <c r="A117" t="s">
        <v>272</v>
      </c>
      <c r="B117" t="s">
        <v>140</v>
      </c>
      <c r="C117" t="s">
        <v>105</v>
      </c>
      <c r="D117" t="s">
        <v>44</v>
      </c>
      <c r="E117">
        <v>46</v>
      </c>
      <c r="F117" t="s">
        <v>23</v>
      </c>
      <c r="G117" t="s">
        <v>45</v>
      </c>
      <c r="H117" t="s">
        <v>46</v>
      </c>
      <c r="I117" t="s">
        <v>47</v>
      </c>
      <c r="J117" t="s">
        <v>90</v>
      </c>
      <c r="K117" t="s">
        <v>91</v>
      </c>
      <c r="L117" t="s">
        <v>92</v>
      </c>
      <c r="M117" t="s">
        <v>93</v>
      </c>
      <c r="N117">
        <v>1</v>
      </c>
      <c r="O117">
        <v>450</v>
      </c>
      <c r="P117">
        <v>0</v>
      </c>
      <c r="Q117">
        <v>450</v>
      </c>
      <c r="R117" t="s">
        <v>31</v>
      </c>
      <c r="S117" t="s">
        <v>21</v>
      </c>
    </row>
    <row r="118" spans="1:19" x14ac:dyDescent="0.3">
      <c r="A118" t="s">
        <v>273</v>
      </c>
      <c r="B118" t="s">
        <v>228</v>
      </c>
      <c r="C118" t="s">
        <v>53</v>
      </c>
      <c r="D118" t="s">
        <v>44</v>
      </c>
      <c r="E118">
        <v>22</v>
      </c>
      <c r="F118" t="s">
        <v>23</v>
      </c>
      <c r="G118" t="s">
        <v>65</v>
      </c>
      <c r="H118" t="s">
        <v>66</v>
      </c>
      <c r="I118" t="s">
        <v>67</v>
      </c>
      <c r="J118" t="s">
        <v>79</v>
      </c>
      <c r="K118" t="s">
        <v>80</v>
      </c>
      <c r="L118" t="s">
        <v>81</v>
      </c>
      <c r="M118" t="s">
        <v>82</v>
      </c>
      <c r="N118">
        <v>1</v>
      </c>
      <c r="O118">
        <v>2800</v>
      </c>
      <c r="P118">
        <v>15</v>
      </c>
      <c r="Q118">
        <v>2380</v>
      </c>
      <c r="R118" t="s">
        <v>40</v>
      </c>
      <c r="S118" t="s">
        <v>32</v>
      </c>
    </row>
    <row r="119" spans="1:19" x14ac:dyDescent="0.3">
      <c r="A119" t="s">
        <v>274</v>
      </c>
      <c r="B119" t="s">
        <v>275</v>
      </c>
      <c r="C119" t="s">
        <v>43</v>
      </c>
      <c r="D119" t="s">
        <v>44</v>
      </c>
      <c r="E119">
        <v>36</v>
      </c>
      <c r="F119" t="s">
        <v>23</v>
      </c>
      <c r="G119" t="s">
        <v>24</v>
      </c>
      <c r="H119" t="s">
        <v>25</v>
      </c>
      <c r="I119" t="s">
        <v>26</v>
      </c>
      <c r="J119" t="s">
        <v>79</v>
      </c>
      <c r="K119" t="s">
        <v>80</v>
      </c>
      <c r="L119" t="s">
        <v>81</v>
      </c>
      <c r="M119" t="s">
        <v>82</v>
      </c>
      <c r="N119">
        <v>3</v>
      </c>
      <c r="O119">
        <v>2800</v>
      </c>
      <c r="P119">
        <v>10</v>
      </c>
      <c r="Q119">
        <v>7560</v>
      </c>
      <c r="R119" t="s">
        <v>40</v>
      </c>
      <c r="S119" t="s">
        <v>50</v>
      </c>
    </row>
    <row r="120" spans="1:19" x14ac:dyDescent="0.3">
      <c r="A120" t="s">
        <v>276</v>
      </c>
      <c r="B120" t="s">
        <v>110</v>
      </c>
      <c r="C120" t="s">
        <v>102</v>
      </c>
      <c r="D120" t="s">
        <v>22</v>
      </c>
      <c r="E120">
        <v>56</v>
      </c>
      <c r="F120" t="s">
        <v>23</v>
      </c>
      <c r="G120" t="s">
        <v>24</v>
      </c>
      <c r="H120" t="s">
        <v>25</v>
      </c>
      <c r="I120" t="s">
        <v>26</v>
      </c>
      <c r="J120" t="s">
        <v>79</v>
      </c>
      <c r="K120" t="s">
        <v>80</v>
      </c>
      <c r="L120" t="s">
        <v>81</v>
      </c>
      <c r="M120" t="s">
        <v>82</v>
      </c>
      <c r="N120">
        <v>1</v>
      </c>
      <c r="O120">
        <v>2800</v>
      </c>
      <c r="P120">
        <v>15</v>
      </c>
      <c r="Q120">
        <v>2380</v>
      </c>
      <c r="R120" t="s">
        <v>40</v>
      </c>
      <c r="S120" t="s">
        <v>70</v>
      </c>
    </row>
    <row r="121" spans="1:19" x14ac:dyDescent="0.3">
      <c r="A121" t="s">
        <v>277</v>
      </c>
      <c r="B121" t="s">
        <v>278</v>
      </c>
      <c r="C121" t="s">
        <v>21</v>
      </c>
      <c r="D121" t="s">
        <v>22</v>
      </c>
      <c r="E121">
        <v>41</v>
      </c>
      <c r="F121" t="s">
        <v>23</v>
      </c>
      <c r="G121" t="s">
        <v>65</v>
      </c>
      <c r="H121" t="s">
        <v>66</v>
      </c>
      <c r="I121" t="s">
        <v>67</v>
      </c>
      <c r="J121" t="s">
        <v>90</v>
      </c>
      <c r="K121" t="s">
        <v>91</v>
      </c>
      <c r="L121" t="s">
        <v>92</v>
      </c>
      <c r="M121" t="s">
        <v>93</v>
      </c>
      <c r="N121">
        <v>4</v>
      </c>
      <c r="O121">
        <v>450</v>
      </c>
      <c r="P121">
        <v>15</v>
      </c>
      <c r="Q121">
        <v>1530</v>
      </c>
      <c r="R121" t="s">
        <v>31</v>
      </c>
      <c r="S121" t="s">
        <v>32</v>
      </c>
    </row>
    <row r="122" spans="1:19" x14ac:dyDescent="0.3">
      <c r="A122" t="s">
        <v>279</v>
      </c>
      <c r="B122" t="s">
        <v>194</v>
      </c>
      <c r="C122" t="s">
        <v>78</v>
      </c>
      <c r="D122" t="s">
        <v>44</v>
      </c>
      <c r="E122">
        <v>34</v>
      </c>
      <c r="F122" t="s">
        <v>23</v>
      </c>
      <c r="G122" t="s">
        <v>24</v>
      </c>
      <c r="H122" t="s">
        <v>25</v>
      </c>
      <c r="I122" t="s">
        <v>26</v>
      </c>
      <c r="J122" t="s">
        <v>79</v>
      </c>
      <c r="K122" t="s">
        <v>80</v>
      </c>
      <c r="L122" t="s">
        <v>81</v>
      </c>
      <c r="M122" t="s">
        <v>82</v>
      </c>
      <c r="N122">
        <v>4</v>
      </c>
      <c r="O122">
        <v>2800</v>
      </c>
      <c r="P122">
        <v>15</v>
      </c>
      <c r="Q122">
        <v>9520</v>
      </c>
      <c r="R122" t="s">
        <v>40</v>
      </c>
      <c r="S122" t="s">
        <v>50</v>
      </c>
    </row>
    <row r="123" spans="1:19" x14ac:dyDescent="0.3">
      <c r="A123" t="s">
        <v>280</v>
      </c>
      <c r="B123" t="s">
        <v>281</v>
      </c>
      <c r="C123" t="s">
        <v>21</v>
      </c>
      <c r="D123" t="s">
        <v>44</v>
      </c>
      <c r="E123">
        <v>42</v>
      </c>
      <c r="F123" t="s">
        <v>23</v>
      </c>
      <c r="G123" t="s">
        <v>24</v>
      </c>
      <c r="H123" t="s">
        <v>25</v>
      </c>
      <c r="I123" t="s">
        <v>26</v>
      </c>
      <c r="J123" t="s">
        <v>27</v>
      </c>
      <c r="K123" t="s">
        <v>28</v>
      </c>
      <c r="L123" t="s">
        <v>29</v>
      </c>
      <c r="M123" t="s">
        <v>30</v>
      </c>
      <c r="N123">
        <v>4</v>
      </c>
      <c r="O123">
        <v>1200</v>
      </c>
      <c r="P123">
        <v>0</v>
      </c>
      <c r="Q123">
        <v>4800</v>
      </c>
      <c r="R123" t="s">
        <v>54</v>
      </c>
      <c r="S123" t="s">
        <v>32</v>
      </c>
    </row>
    <row r="124" spans="1:19" x14ac:dyDescent="0.3">
      <c r="A124" t="s">
        <v>282</v>
      </c>
      <c r="B124" t="s">
        <v>283</v>
      </c>
      <c r="C124" t="s">
        <v>105</v>
      </c>
      <c r="D124" t="s">
        <v>22</v>
      </c>
      <c r="E124">
        <v>33</v>
      </c>
      <c r="F124" t="s">
        <v>23</v>
      </c>
      <c r="G124" t="s">
        <v>58</v>
      </c>
      <c r="H124" t="s">
        <v>59</v>
      </c>
      <c r="I124" t="s">
        <v>60</v>
      </c>
      <c r="J124" t="s">
        <v>27</v>
      </c>
      <c r="K124" t="s">
        <v>28</v>
      </c>
      <c r="L124" t="s">
        <v>68</v>
      </c>
      <c r="M124" t="s">
        <v>69</v>
      </c>
      <c r="N124">
        <v>3</v>
      </c>
      <c r="O124">
        <v>2500</v>
      </c>
      <c r="P124">
        <v>0</v>
      </c>
      <c r="Q124">
        <v>7500</v>
      </c>
      <c r="R124" t="s">
        <v>31</v>
      </c>
      <c r="S124" t="s">
        <v>50</v>
      </c>
    </row>
    <row r="125" spans="1:19" x14ac:dyDescent="0.3">
      <c r="A125" t="s">
        <v>284</v>
      </c>
      <c r="B125" t="s">
        <v>132</v>
      </c>
      <c r="C125" t="s">
        <v>64</v>
      </c>
      <c r="D125" t="s">
        <v>44</v>
      </c>
      <c r="E125">
        <v>42</v>
      </c>
      <c r="F125" t="s">
        <v>23</v>
      </c>
      <c r="G125" t="s">
        <v>45</v>
      </c>
      <c r="H125" t="s">
        <v>46</v>
      </c>
      <c r="I125" t="s">
        <v>47</v>
      </c>
      <c r="J125" t="s">
        <v>27</v>
      </c>
      <c r="K125" t="s">
        <v>28</v>
      </c>
      <c r="L125" t="s">
        <v>68</v>
      </c>
      <c r="M125" t="s">
        <v>69</v>
      </c>
      <c r="N125">
        <v>4</v>
      </c>
      <c r="O125">
        <v>2500</v>
      </c>
      <c r="P125">
        <v>0</v>
      </c>
      <c r="Q125">
        <v>10000</v>
      </c>
      <c r="R125" t="s">
        <v>40</v>
      </c>
      <c r="S125" t="s">
        <v>21</v>
      </c>
    </row>
    <row r="126" spans="1:19" x14ac:dyDescent="0.3">
      <c r="A126" t="s">
        <v>285</v>
      </c>
      <c r="B126" t="s">
        <v>120</v>
      </c>
      <c r="C126" t="s">
        <v>105</v>
      </c>
      <c r="D126" t="s">
        <v>44</v>
      </c>
      <c r="E126">
        <v>23</v>
      </c>
      <c r="F126" t="s">
        <v>23</v>
      </c>
      <c r="G126" t="s">
        <v>73</v>
      </c>
      <c r="H126" t="s">
        <v>74</v>
      </c>
      <c r="I126" t="s">
        <v>75</v>
      </c>
      <c r="J126" t="s">
        <v>36</v>
      </c>
      <c r="K126" t="s">
        <v>37</v>
      </c>
      <c r="L126" t="s">
        <v>48</v>
      </c>
      <c r="M126" t="s">
        <v>49</v>
      </c>
      <c r="N126">
        <v>1</v>
      </c>
      <c r="O126">
        <v>3500</v>
      </c>
      <c r="P126">
        <v>10</v>
      </c>
      <c r="Q126">
        <v>3150</v>
      </c>
      <c r="R126" t="s">
        <v>54</v>
      </c>
      <c r="S126" t="s">
        <v>70</v>
      </c>
    </row>
    <row r="127" spans="1:19" x14ac:dyDescent="0.3">
      <c r="A127" t="s">
        <v>286</v>
      </c>
      <c r="B127" t="s">
        <v>261</v>
      </c>
      <c r="C127" t="s">
        <v>35</v>
      </c>
      <c r="D127" t="s">
        <v>22</v>
      </c>
      <c r="E127">
        <v>23</v>
      </c>
      <c r="F127" t="s">
        <v>23</v>
      </c>
      <c r="G127" t="s">
        <v>73</v>
      </c>
      <c r="H127" t="s">
        <v>74</v>
      </c>
      <c r="I127" t="s">
        <v>75</v>
      </c>
      <c r="J127" t="s">
        <v>27</v>
      </c>
      <c r="K127" t="s">
        <v>28</v>
      </c>
      <c r="L127" t="s">
        <v>68</v>
      </c>
      <c r="M127" t="s">
        <v>69</v>
      </c>
      <c r="N127">
        <v>3</v>
      </c>
      <c r="O127">
        <v>2500</v>
      </c>
      <c r="P127">
        <v>5</v>
      </c>
      <c r="Q127">
        <v>7125</v>
      </c>
      <c r="R127" t="s">
        <v>40</v>
      </c>
      <c r="S127" t="s">
        <v>50</v>
      </c>
    </row>
    <row r="128" spans="1:19" x14ac:dyDescent="0.3">
      <c r="A128" t="s">
        <v>287</v>
      </c>
      <c r="B128" t="s">
        <v>72</v>
      </c>
      <c r="C128" t="s">
        <v>35</v>
      </c>
      <c r="D128" t="s">
        <v>44</v>
      </c>
      <c r="E128">
        <v>34</v>
      </c>
      <c r="F128" t="s">
        <v>23</v>
      </c>
      <c r="G128" t="s">
        <v>24</v>
      </c>
      <c r="H128" t="s">
        <v>25</v>
      </c>
      <c r="I128" t="s">
        <v>26</v>
      </c>
      <c r="J128" t="s">
        <v>90</v>
      </c>
      <c r="K128" t="s">
        <v>91</v>
      </c>
      <c r="L128" t="s">
        <v>92</v>
      </c>
      <c r="M128" t="s">
        <v>93</v>
      </c>
      <c r="N128">
        <v>3</v>
      </c>
      <c r="O128">
        <v>450</v>
      </c>
      <c r="P128">
        <v>10</v>
      </c>
      <c r="Q128">
        <v>1215</v>
      </c>
      <c r="R128" t="s">
        <v>40</v>
      </c>
      <c r="S128" t="s">
        <v>50</v>
      </c>
    </row>
    <row r="129" spans="1:19" x14ac:dyDescent="0.3">
      <c r="A129" t="s">
        <v>288</v>
      </c>
      <c r="B129" t="s">
        <v>228</v>
      </c>
      <c r="C129" t="s">
        <v>78</v>
      </c>
      <c r="D129" t="s">
        <v>44</v>
      </c>
      <c r="E129">
        <v>44</v>
      </c>
      <c r="F129" t="s">
        <v>23</v>
      </c>
      <c r="G129" t="s">
        <v>45</v>
      </c>
      <c r="H129" t="s">
        <v>46</v>
      </c>
      <c r="I129" t="s">
        <v>47</v>
      </c>
      <c r="J129" t="s">
        <v>36</v>
      </c>
      <c r="K129" t="s">
        <v>37</v>
      </c>
      <c r="L129" t="s">
        <v>48</v>
      </c>
      <c r="M129" t="s">
        <v>49</v>
      </c>
      <c r="N129">
        <v>2</v>
      </c>
      <c r="O129">
        <v>3500</v>
      </c>
      <c r="P129">
        <v>0</v>
      </c>
      <c r="Q129">
        <v>7000</v>
      </c>
      <c r="R129" t="s">
        <v>31</v>
      </c>
      <c r="S129" t="s">
        <v>50</v>
      </c>
    </row>
    <row r="130" spans="1:19" x14ac:dyDescent="0.3">
      <c r="A130" t="s">
        <v>289</v>
      </c>
      <c r="B130" t="s">
        <v>184</v>
      </c>
      <c r="C130" t="s">
        <v>43</v>
      </c>
      <c r="D130" t="s">
        <v>44</v>
      </c>
      <c r="E130">
        <v>43</v>
      </c>
      <c r="F130" t="s">
        <v>23</v>
      </c>
      <c r="G130" t="s">
        <v>58</v>
      </c>
      <c r="H130" t="s">
        <v>59</v>
      </c>
      <c r="I130" t="s">
        <v>60</v>
      </c>
      <c r="J130" t="s">
        <v>27</v>
      </c>
      <c r="K130" t="s">
        <v>28</v>
      </c>
      <c r="L130" t="s">
        <v>68</v>
      </c>
      <c r="M130" t="s">
        <v>69</v>
      </c>
      <c r="N130">
        <v>3</v>
      </c>
      <c r="O130">
        <v>2500</v>
      </c>
      <c r="P130">
        <v>15</v>
      </c>
      <c r="Q130">
        <v>6375</v>
      </c>
      <c r="R130" t="s">
        <v>40</v>
      </c>
      <c r="S130" t="s">
        <v>50</v>
      </c>
    </row>
    <row r="131" spans="1:19" x14ac:dyDescent="0.3">
      <c r="A131" t="s">
        <v>290</v>
      </c>
      <c r="B131" t="s">
        <v>291</v>
      </c>
      <c r="C131" t="s">
        <v>43</v>
      </c>
      <c r="D131" t="s">
        <v>44</v>
      </c>
      <c r="E131">
        <v>35</v>
      </c>
      <c r="F131" t="s">
        <v>23</v>
      </c>
      <c r="G131" t="s">
        <v>65</v>
      </c>
      <c r="H131" t="s">
        <v>66</v>
      </c>
      <c r="I131" t="s">
        <v>67</v>
      </c>
      <c r="J131" t="s">
        <v>36</v>
      </c>
      <c r="K131" t="s">
        <v>37</v>
      </c>
      <c r="L131" t="s">
        <v>48</v>
      </c>
      <c r="M131" t="s">
        <v>49</v>
      </c>
      <c r="N131">
        <v>2</v>
      </c>
      <c r="O131">
        <v>3500</v>
      </c>
      <c r="P131">
        <v>5</v>
      </c>
      <c r="Q131">
        <v>6650</v>
      </c>
      <c r="R131" t="s">
        <v>61</v>
      </c>
      <c r="S131" t="s">
        <v>50</v>
      </c>
    </row>
    <row r="132" spans="1:19" x14ac:dyDescent="0.3">
      <c r="A132" t="s">
        <v>292</v>
      </c>
      <c r="B132" t="s">
        <v>293</v>
      </c>
      <c r="C132" t="s">
        <v>50</v>
      </c>
      <c r="D132" t="s">
        <v>22</v>
      </c>
      <c r="E132">
        <v>18</v>
      </c>
      <c r="F132" t="s">
        <v>23</v>
      </c>
      <c r="G132" t="s">
        <v>65</v>
      </c>
      <c r="H132" t="s">
        <v>66</v>
      </c>
      <c r="I132" t="s">
        <v>67</v>
      </c>
      <c r="J132" t="s">
        <v>36</v>
      </c>
      <c r="K132" t="s">
        <v>37</v>
      </c>
      <c r="L132" t="s">
        <v>38</v>
      </c>
      <c r="M132" t="s">
        <v>39</v>
      </c>
      <c r="N132">
        <v>4</v>
      </c>
      <c r="O132">
        <v>6500</v>
      </c>
      <c r="P132">
        <v>15</v>
      </c>
      <c r="Q132">
        <v>22100</v>
      </c>
      <c r="R132" t="s">
        <v>31</v>
      </c>
      <c r="S132" t="s">
        <v>21</v>
      </c>
    </row>
    <row r="133" spans="1:19" x14ac:dyDescent="0.3">
      <c r="A133" t="s">
        <v>294</v>
      </c>
      <c r="B133" t="s">
        <v>241</v>
      </c>
      <c r="C133" t="s">
        <v>64</v>
      </c>
      <c r="D133" t="s">
        <v>22</v>
      </c>
      <c r="E133">
        <v>39</v>
      </c>
      <c r="F133" t="s">
        <v>23</v>
      </c>
      <c r="G133" t="s">
        <v>65</v>
      </c>
      <c r="H133" t="s">
        <v>66</v>
      </c>
      <c r="I133" t="s">
        <v>67</v>
      </c>
      <c r="J133" t="s">
        <v>36</v>
      </c>
      <c r="K133" t="s">
        <v>37</v>
      </c>
      <c r="L133" t="s">
        <v>48</v>
      </c>
      <c r="M133" t="s">
        <v>49</v>
      </c>
      <c r="N133">
        <v>2</v>
      </c>
      <c r="O133">
        <v>3500</v>
      </c>
      <c r="P133">
        <v>10</v>
      </c>
      <c r="Q133">
        <v>6300</v>
      </c>
      <c r="R133" t="s">
        <v>31</v>
      </c>
      <c r="S133" t="s">
        <v>21</v>
      </c>
    </row>
    <row r="134" spans="1:19" x14ac:dyDescent="0.3">
      <c r="A134" t="s">
        <v>295</v>
      </c>
      <c r="B134" t="s">
        <v>175</v>
      </c>
      <c r="C134" t="s">
        <v>102</v>
      </c>
      <c r="D134" t="s">
        <v>22</v>
      </c>
      <c r="E134">
        <v>36</v>
      </c>
      <c r="F134" t="s">
        <v>23</v>
      </c>
      <c r="G134" t="s">
        <v>65</v>
      </c>
      <c r="H134" t="s">
        <v>66</v>
      </c>
      <c r="I134" t="s">
        <v>67</v>
      </c>
      <c r="J134" t="s">
        <v>27</v>
      </c>
      <c r="K134" t="s">
        <v>28</v>
      </c>
      <c r="L134" t="s">
        <v>29</v>
      </c>
      <c r="M134" t="s">
        <v>30</v>
      </c>
      <c r="N134">
        <v>5</v>
      </c>
      <c r="O134">
        <v>1200</v>
      </c>
      <c r="P134">
        <v>10</v>
      </c>
      <c r="Q134">
        <v>5400</v>
      </c>
      <c r="R134" t="s">
        <v>54</v>
      </c>
      <c r="S134" t="s">
        <v>70</v>
      </c>
    </row>
    <row r="135" spans="1:19" x14ac:dyDescent="0.3">
      <c r="A135" t="s">
        <v>296</v>
      </c>
      <c r="B135" t="s">
        <v>223</v>
      </c>
      <c r="C135" t="s">
        <v>43</v>
      </c>
      <c r="D135" t="s">
        <v>22</v>
      </c>
      <c r="E135">
        <v>30</v>
      </c>
      <c r="F135" t="s">
        <v>23</v>
      </c>
      <c r="G135" t="s">
        <v>24</v>
      </c>
      <c r="H135" t="s">
        <v>25</v>
      </c>
      <c r="I135" t="s">
        <v>26</v>
      </c>
      <c r="J135" t="s">
        <v>90</v>
      </c>
      <c r="K135" t="s">
        <v>91</v>
      </c>
      <c r="L135" t="s">
        <v>92</v>
      </c>
      <c r="M135" t="s">
        <v>93</v>
      </c>
      <c r="N135">
        <v>2</v>
      </c>
      <c r="O135">
        <v>450</v>
      </c>
      <c r="P135">
        <v>5</v>
      </c>
      <c r="Q135">
        <v>855</v>
      </c>
      <c r="R135" t="s">
        <v>40</v>
      </c>
      <c r="S135" t="s">
        <v>32</v>
      </c>
    </row>
    <row r="136" spans="1:19" x14ac:dyDescent="0.3">
      <c r="A136" t="s">
        <v>297</v>
      </c>
      <c r="B136" t="s">
        <v>298</v>
      </c>
      <c r="C136" t="s">
        <v>78</v>
      </c>
      <c r="D136" t="s">
        <v>44</v>
      </c>
      <c r="E136">
        <v>33</v>
      </c>
      <c r="F136" t="s">
        <v>23</v>
      </c>
      <c r="G136" t="s">
        <v>65</v>
      </c>
      <c r="H136" t="s">
        <v>66</v>
      </c>
      <c r="I136" t="s">
        <v>67</v>
      </c>
      <c r="J136" t="s">
        <v>27</v>
      </c>
      <c r="K136" t="s">
        <v>28</v>
      </c>
      <c r="L136" t="s">
        <v>68</v>
      </c>
      <c r="M136" t="s">
        <v>69</v>
      </c>
      <c r="N136">
        <v>2</v>
      </c>
      <c r="O136">
        <v>2500</v>
      </c>
      <c r="P136">
        <v>0</v>
      </c>
      <c r="Q136">
        <v>5000</v>
      </c>
      <c r="R136" t="s">
        <v>61</v>
      </c>
      <c r="S136" t="s">
        <v>50</v>
      </c>
    </row>
    <row r="137" spans="1:19" x14ac:dyDescent="0.3">
      <c r="A137" t="s">
        <v>299</v>
      </c>
      <c r="B137" t="s">
        <v>160</v>
      </c>
      <c r="C137" t="s">
        <v>57</v>
      </c>
      <c r="D137" t="s">
        <v>22</v>
      </c>
      <c r="E137">
        <v>52</v>
      </c>
      <c r="F137" t="s">
        <v>23</v>
      </c>
      <c r="G137" t="s">
        <v>45</v>
      </c>
      <c r="H137" t="s">
        <v>46</v>
      </c>
      <c r="I137" t="s">
        <v>47</v>
      </c>
      <c r="J137" t="s">
        <v>27</v>
      </c>
      <c r="K137" t="s">
        <v>28</v>
      </c>
      <c r="L137" t="s">
        <v>68</v>
      </c>
      <c r="M137" t="s">
        <v>69</v>
      </c>
      <c r="N137">
        <v>4</v>
      </c>
      <c r="O137">
        <v>2500</v>
      </c>
      <c r="P137">
        <v>15</v>
      </c>
      <c r="Q137">
        <v>8500</v>
      </c>
      <c r="R137" t="s">
        <v>54</v>
      </c>
      <c r="S137" t="s">
        <v>70</v>
      </c>
    </row>
    <row r="138" spans="1:19" x14ac:dyDescent="0.3">
      <c r="A138" t="s">
        <v>300</v>
      </c>
      <c r="B138" t="s">
        <v>52</v>
      </c>
      <c r="C138" t="s">
        <v>57</v>
      </c>
      <c r="D138" t="s">
        <v>44</v>
      </c>
      <c r="E138">
        <v>21</v>
      </c>
      <c r="F138" t="s">
        <v>23</v>
      </c>
      <c r="G138" t="s">
        <v>73</v>
      </c>
      <c r="H138" t="s">
        <v>74</v>
      </c>
      <c r="I138" t="s">
        <v>75</v>
      </c>
      <c r="J138" t="s">
        <v>79</v>
      </c>
      <c r="K138" t="s">
        <v>80</v>
      </c>
      <c r="L138" t="s">
        <v>81</v>
      </c>
      <c r="M138" t="s">
        <v>82</v>
      </c>
      <c r="N138">
        <v>4</v>
      </c>
      <c r="O138">
        <v>2800</v>
      </c>
      <c r="P138">
        <v>15</v>
      </c>
      <c r="Q138">
        <v>9520</v>
      </c>
      <c r="R138" t="s">
        <v>40</v>
      </c>
      <c r="S138" t="s">
        <v>70</v>
      </c>
    </row>
    <row r="139" spans="1:19" x14ac:dyDescent="0.3">
      <c r="A139" t="s">
        <v>301</v>
      </c>
      <c r="B139" t="s">
        <v>302</v>
      </c>
      <c r="C139" t="s">
        <v>21</v>
      </c>
      <c r="D139" t="s">
        <v>44</v>
      </c>
      <c r="E139">
        <v>47</v>
      </c>
      <c r="F139" t="s">
        <v>23</v>
      </c>
      <c r="G139" t="s">
        <v>45</v>
      </c>
      <c r="H139" t="s">
        <v>46</v>
      </c>
      <c r="I139" t="s">
        <v>47</v>
      </c>
      <c r="J139" t="s">
        <v>27</v>
      </c>
      <c r="K139" t="s">
        <v>28</v>
      </c>
      <c r="L139" t="s">
        <v>29</v>
      </c>
      <c r="M139" t="s">
        <v>30</v>
      </c>
      <c r="N139">
        <v>5</v>
      </c>
      <c r="O139">
        <v>1200</v>
      </c>
      <c r="P139">
        <v>15</v>
      </c>
      <c r="Q139">
        <v>5100</v>
      </c>
      <c r="R139" t="s">
        <v>54</v>
      </c>
      <c r="S139" t="s">
        <v>50</v>
      </c>
    </row>
    <row r="140" spans="1:19" x14ac:dyDescent="0.3">
      <c r="A140" t="s">
        <v>303</v>
      </c>
      <c r="B140" t="s">
        <v>304</v>
      </c>
      <c r="C140" t="s">
        <v>50</v>
      </c>
      <c r="D140" t="s">
        <v>22</v>
      </c>
      <c r="E140">
        <v>25</v>
      </c>
      <c r="F140" t="s">
        <v>23</v>
      </c>
      <c r="G140" t="s">
        <v>58</v>
      </c>
      <c r="H140" t="s">
        <v>59</v>
      </c>
      <c r="I140" t="s">
        <v>60</v>
      </c>
      <c r="J140" t="s">
        <v>27</v>
      </c>
      <c r="K140" t="s">
        <v>28</v>
      </c>
      <c r="L140" t="s">
        <v>29</v>
      </c>
      <c r="M140" t="s">
        <v>30</v>
      </c>
      <c r="N140">
        <v>5</v>
      </c>
      <c r="O140">
        <v>1200</v>
      </c>
      <c r="P140">
        <v>0</v>
      </c>
      <c r="Q140">
        <v>6000</v>
      </c>
      <c r="R140" t="s">
        <v>40</v>
      </c>
      <c r="S140" t="s">
        <v>21</v>
      </c>
    </row>
    <row r="141" spans="1:19" x14ac:dyDescent="0.3">
      <c r="A141" t="s">
        <v>305</v>
      </c>
      <c r="B141" t="s">
        <v>306</v>
      </c>
      <c r="C141" t="s">
        <v>53</v>
      </c>
      <c r="D141" t="s">
        <v>44</v>
      </c>
      <c r="E141">
        <v>57</v>
      </c>
      <c r="F141" t="s">
        <v>23</v>
      </c>
      <c r="G141" t="s">
        <v>58</v>
      </c>
      <c r="H141" t="s">
        <v>59</v>
      </c>
      <c r="I141" t="s">
        <v>60</v>
      </c>
      <c r="J141" t="s">
        <v>27</v>
      </c>
      <c r="K141" t="s">
        <v>28</v>
      </c>
      <c r="L141" t="s">
        <v>29</v>
      </c>
      <c r="M141" t="s">
        <v>30</v>
      </c>
      <c r="N141">
        <v>3</v>
      </c>
      <c r="O141">
        <v>1200</v>
      </c>
      <c r="P141">
        <v>0</v>
      </c>
      <c r="Q141">
        <v>3600</v>
      </c>
      <c r="R141" t="s">
        <v>40</v>
      </c>
      <c r="S141" t="s">
        <v>70</v>
      </c>
    </row>
    <row r="142" spans="1:19" x14ac:dyDescent="0.3">
      <c r="A142" t="s">
        <v>307</v>
      </c>
      <c r="B142" t="s">
        <v>308</v>
      </c>
      <c r="C142" t="s">
        <v>57</v>
      </c>
      <c r="D142" t="s">
        <v>22</v>
      </c>
      <c r="E142">
        <v>25</v>
      </c>
      <c r="F142" t="s">
        <v>23</v>
      </c>
      <c r="G142" t="s">
        <v>73</v>
      </c>
      <c r="H142" t="s">
        <v>74</v>
      </c>
      <c r="I142" t="s">
        <v>75</v>
      </c>
      <c r="J142" t="s">
        <v>36</v>
      </c>
      <c r="K142" t="s">
        <v>37</v>
      </c>
      <c r="L142" t="s">
        <v>38</v>
      </c>
      <c r="M142" t="s">
        <v>39</v>
      </c>
      <c r="N142">
        <v>4</v>
      </c>
      <c r="O142">
        <v>6500</v>
      </c>
      <c r="P142">
        <v>5</v>
      </c>
      <c r="Q142">
        <v>24700</v>
      </c>
      <c r="R142" t="s">
        <v>54</v>
      </c>
      <c r="S142" t="s">
        <v>21</v>
      </c>
    </row>
    <row r="143" spans="1:19" x14ac:dyDescent="0.3">
      <c r="A143" t="s">
        <v>309</v>
      </c>
      <c r="B143" t="s">
        <v>179</v>
      </c>
      <c r="C143" t="s">
        <v>21</v>
      </c>
      <c r="D143" t="s">
        <v>44</v>
      </c>
      <c r="E143">
        <v>51</v>
      </c>
      <c r="F143" t="s">
        <v>23</v>
      </c>
      <c r="G143" t="s">
        <v>58</v>
      </c>
      <c r="H143" t="s">
        <v>59</v>
      </c>
      <c r="I143" t="s">
        <v>60</v>
      </c>
      <c r="J143" t="s">
        <v>27</v>
      </c>
      <c r="K143" t="s">
        <v>28</v>
      </c>
      <c r="L143" t="s">
        <v>29</v>
      </c>
      <c r="M143" t="s">
        <v>30</v>
      </c>
      <c r="N143">
        <v>1</v>
      </c>
      <c r="O143">
        <v>1200</v>
      </c>
      <c r="P143">
        <v>5</v>
      </c>
      <c r="Q143">
        <v>1140</v>
      </c>
      <c r="R143" t="s">
        <v>31</v>
      </c>
      <c r="S143" t="s">
        <v>50</v>
      </c>
    </row>
    <row r="144" spans="1:19" x14ac:dyDescent="0.3">
      <c r="A144" t="s">
        <v>310</v>
      </c>
      <c r="B144" t="s">
        <v>311</v>
      </c>
      <c r="C144" t="s">
        <v>43</v>
      </c>
      <c r="D144" t="s">
        <v>22</v>
      </c>
      <c r="E144">
        <v>57</v>
      </c>
      <c r="F144" t="s">
        <v>23</v>
      </c>
      <c r="G144" t="s">
        <v>45</v>
      </c>
      <c r="H144" t="s">
        <v>46</v>
      </c>
      <c r="I144" t="s">
        <v>47</v>
      </c>
      <c r="J144" t="s">
        <v>36</v>
      </c>
      <c r="K144" t="s">
        <v>37</v>
      </c>
      <c r="L144" t="s">
        <v>38</v>
      </c>
      <c r="M144" t="s">
        <v>39</v>
      </c>
      <c r="N144">
        <v>4</v>
      </c>
      <c r="O144">
        <v>6500</v>
      </c>
      <c r="P144">
        <v>0</v>
      </c>
      <c r="Q144">
        <v>26000</v>
      </c>
      <c r="R144" t="s">
        <v>40</v>
      </c>
      <c r="S144" t="s">
        <v>21</v>
      </c>
    </row>
    <row r="145" spans="1:19" x14ac:dyDescent="0.3">
      <c r="A145" t="s">
        <v>312</v>
      </c>
      <c r="B145" t="s">
        <v>164</v>
      </c>
      <c r="C145" t="s">
        <v>102</v>
      </c>
      <c r="D145" t="s">
        <v>22</v>
      </c>
      <c r="E145">
        <v>25</v>
      </c>
      <c r="F145" t="s">
        <v>23</v>
      </c>
      <c r="G145" t="s">
        <v>58</v>
      </c>
      <c r="H145" t="s">
        <v>59</v>
      </c>
      <c r="I145" t="s">
        <v>60</v>
      </c>
      <c r="J145" t="s">
        <v>79</v>
      </c>
      <c r="K145" t="s">
        <v>80</v>
      </c>
      <c r="L145" t="s">
        <v>81</v>
      </c>
      <c r="M145" t="s">
        <v>82</v>
      </c>
      <c r="N145">
        <v>4</v>
      </c>
      <c r="O145">
        <v>2800</v>
      </c>
      <c r="P145">
        <v>15</v>
      </c>
      <c r="Q145">
        <v>9520</v>
      </c>
      <c r="R145" t="s">
        <v>31</v>
      </c>
      <c r="S145" t="s">
        <v>70</v>
      </c>
    </row>
    <row r="146" spans="1:19" x14ac:dyDescent="0.3">
      <c r="A146" t="s">
        <v>313</v>
      </c>
      <c r="B146" t="s">
        <v>314</v>
      </c>
      <c r="C146" t="s">
        <v>43</v>
      </c>
      <c r="D146" t="s">
        <v>44</v>
      </c>
      <c r="E146">
        <v>25</v>
      </c>
      <c r="F146" t="s">
        <v>23</v>
      </c>
      <c r="G146" t="s">
        <v>65</v>
      </c>
      <c r="H146" t="s">
        <v>66</v>
      </c>
      <c r="I146" t="s">
        <v>67</v>
      </c>
      <c r="J146" t="s">
        <v>27</v>
      </c>
      <c r="K146" t="s">
        <v>28</v>
      </c>
      <c r="L146" t="s">
        <v>68</v>
      </c>
      <c r="M146" t="s">
        <v>69</v>
      </c>
      <c r="N146">
        <v>2</v>
      </c>
      <c r="O146">
        <v>2500</v>
      </c>
      <c r="P146">
        <v>10</v>
      </c>
      <c r="Q146">
        <v>4500</v>
      </c>
      <c r="R146" t="s">
        <v>40</v>
      </c>
      <c r="S146" t="s">
        <v>21</v>
      </c>
    </row>
    <row r="147" spans="1:19" x14ac:dyDescent="0.3">
      <c r="A147" t="s">
        <v>315</v>
      </c>
      <c r="B147" t="s">
        <v>316</v>
      </c>
      <c r="C147" t="s">
        <v>43</v>
      </c>
      <c r="D147" t="s">
        <v>22</v>
      </c>
      <c r="E147">
        <v>21</v>
      </c>
      <c r="F147" t="s">
        <v>23</v>
      </c>
      <c r="G147" t="s">
        <v>45</v>
      </c>
      <c r="H147" t="s">
        <v>46</v>
      </c>
      <c r="I147" t="s">
        <v>47</v>
      </c>
      <c r="J147" t="s">
        <v>27</v>
      </c>
      <c r="K147" t="s">
        <v>28</v>
      </c>
      <c r="L147" t="s">
        <v>68</v>
      </c>
      <c r="M147" t="s">
        <v>69</v>
      </c>
      <c r="N147">
        <v>5</v>
      </c>
      <c r="O147">
        <v>2500</v>
      </c>
      <c r="P147">
        <v>15</v>
      </c>
      <c r="Q147">
        <v>10625</v>
      </c>
      <c r="R147" t="s">
        <v>61</v>
      </c>
      <c r="S147" t="s">
        <v>70</v>
      </c>
    </row>
    <row r="148" spans="1:19" x14ac:dyDescent="0.3">
      <c r="A148" t="s">
        <v>317</v>
      </c>
      <c r="B148" t="s">
        <v>318</v>
      </c>
      <c r="C148" t="s">
        <v>102</v>
      </c>
      <c r="D148" t="s">
        <v>44</v>
      </c>
      <c r="E148">
        <v>54</v>
      </c>
      <c r="F148" t="s">
        <v>23</v>
      </c>
      <c r="G148" t="s">
        <v>58</v>
      </c>
      <c r="H148" t="s">
        <v>59</v>
      </c>
      <c r="I148" t="s">
        <v>60</v>
      </c>
      <c r="J148" t="s">
        <v>79</v>
      </c>
      <c r="K148" t="s">
        <v>80</v>
      </c>
      <c r="L148" t="s">
        <v>81</v>
      </c>
      <c r="M148" t="s">
        <v>82</v>
      </c>
      <c r="N148">
        <v>2</v>
      </c>
      <c r="O148">
        <v>2800</v>
      </c>
      <c r="P148">
        <v>5</v>
      </c>
      <c r="Q148">
        <v>5320</v>
      </c>
      <c r="R148" t="s">
        <v>40</v>
      </c>
      <c r="S148" t="s">
        <v>32</v>
      </c>
    </row>
    <row r="149" spans="1:19" x14ac:dyDescent="0.3">
      <c r="A149" t="s">
        <v>319</v>
      </c>
      <c r="B149" t="s">
        <v>298</v>
      </c>
      <c r="C149" t="s">
        <v>43</v>
      </c>
      <c r="D149" t="s">
        <v>22</v>
      </c>
      <c r="E149">
        <v>27</v>
      </c>
      <c r="F149" t="s">
        <v>23</v>
      </c>
      <c r="G149" t="s">
        <v>45</v>
      </c>
      <c r="H149" t="s">
        <v>46</v>
      </c>
      <c r="I149" t="s">
        <v>47</v>
      </c>
      <c r="J149" t="s">
        <v>36</v>
      </c>
      <c r="K149" t="s">
        <v>37</v>
      </c>
      <c r="L149" t="s">
        <v>38</v>
      </c>
      <c r="M149" t="s">
        <v>39</v>
      </c>
      <c r="N149">
        <v>1</v>
      </c>
      <c r="O149">
        <v>6500</v>
      </c>
      <c r="P149">
        <v>10</v>
      </c>
      <c r="Q149">
        <v>5850</v>
      </c>
      <c r="R149" t="s">
        <v>54</v>
      </c>
      <c r="S149" t="s">
        <v>32</v>
      </c>
    </row>
    <row r="150" spans="1:19" x14ac:dyDescent="0.3">
      <c r="A150" t="s">
        <v>320</v>
      </c>
      <c r="B150" t="s">
        <v>321</v>
      </c>
      <c r="C150" t="s">
        <v>21</v>
      </c>
      <c r="D150" t="s">
        <v>22</v>
      </c>
      <c r="E150">
        <v>53</v>
      </c>
      <c r="F150" t="s">
        <v>23</v>
      </c>
      <c r="G150" t="s">
        <v>45</v>
      </c>
      <c r="H150" t="s">
        <v>46</v>
      </c>
      <c r="I150" t="s">
        <v>47</v>
      </c>
      <c r="J150" t="s">
        <v>27</v>
      </c>
      <c r="K150" t="s">
        <v>28</v>
      </c>
      <c r="L150" t="s">
        <v>68</v>
      </c>
      <c r="M150" t="s">
        <v>69</v>
      </c>
      <c r="N150">
        <v>1</v>
      </c>
      <c r="O150">
        <v>2500</v>
      </c>
      <c r="P150">
        <v>15</v>
      </c>
      <c r="Q150">
        <v>2125</v>
      </c>
      <c r="R150" t="s">
        <v>54</v>
      </c>
      <c r="S150" t="s">
        <v>70</v>
      </c>
    </row>
    <row r="151" spans="1:19" x14ac:dyDescent="0.3">
      <c r="A151" t="s">
        <v>322</v>
      </c>
      <c r="B151" t="s">
        <v>257</v>
      </c>
      <c r="C151" t="s">
        <v>105</v>
      </c>
      <c r="D151" t="s">
        <v>22</v>
      </c>
      <c r="E151">
        <v>30</v>
      </c>
      <c r="F151" t="s">
        <v>23</v>
      </c>
      <c r="G151" t="s">
        <v>65</v>
      </c>
      <c r="H151" t="s">
        <v>66</v>
      </c>
      <c r="I151" t="s">
        <v>67</v>
      </c>
      <c r="J151" t="s">
        <v>90</v>
      </c>
      <c r="K151" t="s">
        <v>91</v>
      </c>
      <c r="L151" t="s">
        <v>92</v>
      </c>
      <c r="M151" t="s">
        <v>93</v>
      </c>
      <c r="N151">
        <v>2</v>
      </c>
      <c r="O151">
        <v>450</v>
      </c>
      <c r="P151">
        <v>15</v>
      </c>
      <c r="Q151">
        <v>765</v>
      </c>
      <c r="R151" t="s">
        <v>61</v>
      </c>
      <c r="S151" t="s">
        <v>21</v>
      </c>
    </row>
    <row r="152" spans="1:19" x14ac:dyDescent="0.3">
      <c r="A152" t="s">
        <v>323</v>
      </c>
      <c r="B152" t="s">
        <v>324</v>
      </c>
      <c r="C152" t="s">
        <v>105</v>
      </c>
      <c r="D152" t="s">
        <v>22</v>
      </c>
      <c r="E152">
        <v>37</v>
      </c>
      <c r="F152" t="s">
        <v>23</v>
      </c>
      <c r="G152" t="s">
        <v>65</v>
      </c>
      <c r="H152" t="s">
        <v>66</v>
      </c>
      <c r="I152" t="s">
        <v>67</v>
      </c>
      <c r="J152" t="s">
        <v>36</v>
      </c>
      <c r="K152" t="s">
        <v>37</v>
      </c>
      <c r="L152" t="s">
        <v>38</v>
      </c>
      <c r="M152" t="s">
        <v>39</v>
      </c>
      <c r="N152">
        <v>4</v>
      </c>
      <c r="O152">
        <v>6500</v>
      </c>
      <c r="P152">
        <v>0</v>
      </c>
      <c r="Q152">
        <v>26000</v>
      </c>
      <c r="R152" t="s">
        <v>54</v>
      </c>
      <c r="S152" t="s">
        <v>70</v>
      </c>
    </row>
    <row r="153" spans="1:19" x14ac:dyDescent="0.3">
      <c r="A153" t="s">
        <v>325</v>
      </c>
      <c r="B153" t="s">
        <v>241</v>
      </c>
      <c r="C153" t="s">
        <v>102</v>
      </c>
      <c r="D153" t="s">
        <v>22</v>
      </c>
      <c r="E153">
        <v>31</v>
      </c>
      <c r="F153" t="s">
        <v>23</v>
      </c>
      <c r="G153" t="s">
        <v>45</v>
      </c>
      <c r="H153" t="s">
        <v>46</v>
      </c>
      <c r="I153" t="s">
        <v>47</v>
      </c>
      <c r="J153" t="s">
        <v>36</v>
      </c>
      <c r="K153" t="s">
        <v>37</v>
      </c>
      <c r="L153" t="s">
        <v>48</v>
      </c>
      <c r="M153" t="s">
        <v>49</v>
      </c>
      <c r="N153">
        <v>3</v>
      </c>
      <c r="O153">
        <v>3500</v>
      </c>
      <c r="P153">
        <v>10</v>
      </c>
      <c r="Q153">
        <v>9450</v>
      </c>
      <c r="R153" t="s">
        <v>54</v>
      </c>
      <c r="S153" t="s">
        <v>21</v>
      </c>
    </row>
    <row r="154" spans="1:19" x14ac:dyDescent="0.3">
      <c r="A154" t="s">
        <v>326</v>
      </c>
      <c r="B154" t="s">
        <v>196</v>
      </c>
      <c r="C154" t="s">
        <v>43</v>
      </c>
      <c r="D154" t="s">
        <v>44</v>
      </c>
      <c r="E154">
        <v>43</v>
      </c>
      <c r="F154" t="s">
        <v>23</v>
      </c>
      <c r="G154" t="s">
        <v>24</v>
      </c>
      <c r="H154" t="s">
        <v>25</v>
      </c>
      <c r="I154" t="s">
        <v>26</v>
      </c>
      <c r="J154" t="s">
        <v>90</v>
      </c>
      <c r="K154" t="s">
        <v>91</v>
      </c>
      <c r="L154" t="s">
        <v>92</v>
      </c>
      <c r="M154" t="s">
        <v>93</v>
      </c>
      <c r="N154">
        <v>3</v>
      </c>
      <c r="O154">
        <v>450</v>
      </c>
      <c r="P154">
        <v>0</v>
      </c>
      <c r="Q154">
        <v>1350</v>
      </c>
      <c r="R154" t="s">
        <v>54</v>
      </c>
      <c r="S154" t="s">
        <v>32</v>
      </c>
    </row>
    <row r="155" spans="1:19" x14ac:dyDescent="0.3">
      <c r="A155" t="s">
        <v>327</v>
      </c>
      <c r="B155" t="s">
        <v>99</v>
      </c>
      <c r="C155" t="s">
        <v>35</v>
      </c>
      <c r="D155" t="s">
        <v>44</v>
      </c>
      <c r="E155">
        <v>34</v>
      </c>
      <c r="F155" t="s">
        <v>23</v>
      </c>
      <c r="G155" t="s">
        <v>58</v>
      </c>
      <c r="H155" t="s">
        <v>59</v>
      </c>
      <c r="I155" t="s">
        <v>60</v>
      </c>
      <c r="J155" t="s">
        <v>36</v>
      </c>
      <c r="K155" t="s">
        <v>37</v>
      </c>
      <c r="L155" t="s">
        <v>48</v>
      </c>
      <c r="M155" t="s">
        <v>49</v>
      </c>
      <c r="N155">
        <v>4</v>
      </c>
      <c r="O155">
        <v>3500</v>
      </c>
      <c r="P155">
        <v>5</v>
      </c>
      <c r="Q155">
        <v>13300</v>
      </c>
      <c r="R155" t="s">
        <v>54</v>
      </c>
      <c r="S155" t="s">
        <v>21</v>
      </c>
    </row>
    <row r="156" spans="1:19" x14ac:dyDescent="0.3">
      <c r="A156" t="s">
        <v>328</v>
      </c>
      <c r="B156" t="s">
        <v>52</v>
      </c>
      <c r="C156" t="s">
        <v>53</v>
      </c>
      <c r="D156" t="s">
        <v>22</v>
      </c>
      <c r="E156">
        <v>22</v>
      </c>
      <c r="F156" t="s">
        <v>23</v>
      </c>
      <c r="G156" t="s">
        <v>73</v>
      </c>
      <c r="H156" t="s">
        <v>74</v>
      </c>
      <c r="I156" t="s">
        <v>75</v>
      </c>
      <c r="J156" t="s">
        <v>36</v>
      </c>
      <c r="K156" t="s">
        <v>37</v>
      </c>
      <c r="L156" t="s">
        <v>48</v>
      </c>
      <c r="M156" t="s">
        <v>49</v>
      </c>
      <c r="N156">
        <v>3</v>
      </c>
      <c r="O156">
        <v>3500</v>
      </c>
      <c r="P156">
        <v>10</v>
      </c>
      <c r="Q156">
        <v>9450</v>
      </c>
      <c r="R156" t="s">
        <v>40</v>
      </c>
      <c r="S156" t="s">
        <v>50</v>
      </c>
    </row>
    <row r="157" spans="1:19" x14ac:dyDescent="0.3">
      <c r="A157" t="s">
        <v>329</v>
      </c>
      <c r="B157" t="s">
        <v>330</v>
      </c>
      <c r="C157" t="s">
        <v>64</v>
      </c>
      <c r="D157" t="s">
        <v>44</v>
      </c>
      <c r="E157">
        <v>34</v>
      </c>
      <c r="F157" t="s">
        <v>23</v>
      </c>
      <c r="G157" t="s">
        <v>58</v>
      </c>
      <c r="H157" t="s">
        <v>59</v>
      </c>
      <c r="I157" t="s">
        <v>60</v>
      </c>
      <c r="J157" t="s">
        <v>90</v>
      </c>
      <c r="K157" t="s">
        <v>91</v>
      </c>
      <c r="L157" t="s">
        <v>92</v>
      </c>
      <c r="M157" t="s">
        <v>93</v>
      </c>
      <c r="N157">
        <v>5</v>
      </c>
      <c r="O157">
        <v>450</v>
      </c>
      <c r="P157">
        <v>15</v>
      </c>
      <c r="Q157">
        <v>1912.5</v>
      </c>
      <c r="R157" t="s">
        <v>54</v>
      </c>
      <c r="S157" t="s">
        <v>32</v>
      </c>
    </row>
    <row r="158" spans="1:19" x14ac:dyDescent="0.3">
      <c r="A158" t="s">
        <v>331</v>
      </c>
      <c r="B158" t="s">
        <v>332</v>
      </c>
      <c r="C158" t="s">
        <v>53</v>
      </c>
      <c r="D158" t="s">
        <v>22</v>
      </c>
      <c r="E158">
        <v>55</v>
      </c>
      <c r="F158" t="s">
        <v>23</v>
      </c>
      <c r="G158" t="s">
        <v>24</v>
      </c>
      <c r="H158" t="s">
        <v>25</v>
      </c>
      <c r="I158" t="s">
        <v>26</v>
      </c>
      <c r="J158" t="s">
        <v>36</v>
      </c>
      <c r="K158" t="s">
        <v>37</v>
      </c>
      <c r="L158" t="s">
        <v>48</v>
      </c>
      <c r="M158" t="s">
        <v>49</v>
      </c>
      <c r="N158">
        <v>3</v>
      </c>
      <c r="O158">
        <v>3500</v>
      </c>
      <c r="P158">
        <v>0</v>
      </c>
      <c r="Q158">
        <v>10500</v>
      </c>
      <c r="R158" t="s">
        <v>31</v>
      </c>
      <c r="S158" t="s">
        <v>50</v>
      </c>
    </row>
    <row r="159" spans="1:19" x14ac:dyDescent="0.3">
      <c r="A159" t="s">
        <v>333</v>
      </c>
      <c r="B159" t="s">
        <v>150</v>
      </c>
      <c r="C159" t="s">
        <v>105</v>
      </c>
      <c r="D159" t="s">
        <v>44</v>
      </c>
      <c r="E159">
        <v>29</v>
      </c>
      <c r="F159" t="s">
        <v>23</v>
      </c>
      <c r="G159" t="s">
        <v>24</v>
      </c>
      <c r="H159" t="s">
        <v>25</v>
      </c>
      <c r="I159" t="s">
        <v>26</v>
      </c>
      <c r="J159" t="s">
        <v>36</v>
      </c>
      <c r="K159" t="s">
        <v>37</v>
      </c>
      <c r="L159" t="s">
        <v>48</v>
      </c>
      <c r="M159" t="s">
        <v>49</v>
      </c>
      <c r="N159">
        <v>3</v>
      </c>
      <c r="O159">
        <v>3500</v>
      </c>
      <c r="P159">
        <v>0</v>
      </c>
      <c r="Q159">
        <v>10500</v>
      </c>
      <c r="R159" t="s">
        <v>54</v>
      </c>
      <c r="S159" t="s">
        <v>70</v>
      </c>
    </row>
    <row r="160" spans="1:19" x14ac:dyDescent="0.3">
      <c r="A160" t="s">
        <v>334</v>
      </c>
      <c r="B160" t="s">
        <v>283</v>
      </c>
      <c r="C160" t="s">
        <v>64</v>
      </c>
      <c r="D160" t="s">
        <v>44</v>
      </c>
      <c r="E160">
        <v>32</v>
      </c>
      <c r="F160" t="s">
        <v>23</v>
      </c>
      <c r="G160" t="s">
        <v>73</v>
      </c>
      <c r="H160" t="s">
        <v>74</v>
      </c>
      <c r="I160" t="s">
        <v>75</v>
      </c>
      <c r="J160" t="s">
        <v>79</v>
      </c>
      <c r="K160" t="s">
        <v>80</v>
      </c>
      <c r="L160" t="s">
        <v>81</v>
      </c>
      <c r="M160" t="s">
        <v>82</v>
      </c>
      <c r="N160">
        <v>1</v>
      </c>
      <c r="O160">
        <v>2800</v>
      </c>
      <c r="P160">
        <v>0</v>
      </c>
      <c r="Q160">
        <v>2800</v>
      </c>
      <c r="R160" t="s">
        <v>31</v>
      </c>
      <c r="S160" t="s">
        <v>21</v>
      </c>
    </row>
    <row r="161" spans="1:19" x14ac:dyDescent="0.3">
      <c r="A161" t="s">
        <v>335</v>
      </c>
      <c r="B161" t="s">
        <v>246</v>
      </c>
      <c r="C161" t="s">
        <v>105</v>
      </c>
      <c r="D161" t="s">
        <v>22</v>
      </c>
      <c r="E161">
        <v>60</v>
      </c>
      <c r="F161" t="s">
        <v>23</v>
      </c>
      <c r="G161" t="s">
        <v>65</v>
      </c>
      <c r="H161" t="s">
        <v>66</v>
      </c>
      <c r="I161" t="s">
        <v>67</v>
      </c>
      <c r="J161" t="s">
        <v>90</v>
      </c>
      <c r="K161" t="s">
        <v>91</v>
      </c>
      <c r="L161" t="s">
        <v>92</v>
      </c>
      <c r="M161" t="s">
        <v>93</v>
      </c>
      <c r="N161">
        <v>5</v>
      </c>
      <c r="O161">
        <v>450</v>
      </c>
      <c r="P161">
        <v>5</v>
      </c>
      <c r="Q161">
        <v>2137.5</v>
      </c>
      <c r="R161" t="s">
        <v>54</v>
      </c>
      <c r="S161" t="s">
        <v>70</v>
      </c>
    </row>
    <row r="162" spans="1:19" x14ac:dyDescent="0.3">
      <c r="A162" t="s">
        <v>336</v>
      </c>
      <c r="B162" t="s">
        <v>199</v>
      </c>
      <c r="C162" t="s">
        <v>57</v>
      </c>
      <c r="D162" t="s">
        <v>44</v>
      </c>
      <c r="E162">
        <v>37</v>
      </c>
      <c r="F162" t="s">
        <v>23</v>
      </c>
      <c r="G162" t="s">
        <v>58</v>
      </c>
      <c r="H162" t="s">
        <v>59</v>
      </c>
      <c r="I162" t="s">
        <v>60</v>
      </c>
      <c r="J162" t="s">
        <v>36</v>
      </c>
      <c r="K162" t="s">
        <v>37</v>
      </c>
      <c r="L162" t="s">
        <v>38</v>
      </c>
      <c r="M162" t="s">
        <v>39</v>
      </c>
      <c r="N162">
        <v>1</v>
      </c>
      <c r="O162">
        <v>6500</v>
      </c>
      <c r="P162">
        <v>15</v>
      </c>
      <c r="Q162">
        <v>5525</v>
      </c>
      <c r="R162" t="s">
        <v>40</v>
      </c>
      <c r="S162" t="s">
        <v>50</v>
      </c>
    </row>
    <row r="163" spans="1:19" x14ac:dyDescent="0.3">
      <c r="A163" t="s">
        <v>337</v>
      </c>
      <c r="B163" t="s">
        <v>228</v>
      </c>
      <c r="C163" t="s">
        <v>105</v>
      </c>
      <c r="D163" t="s">
        <v>22</v>
      </c>
      <c r="E163">
        <v>34</v>
      </c>
      <c r="F163" t="s">
        <v>23</v>
      </c>
      <c r="G163" t="s">
        <v>24</v>
      </c>
      <c r="H163" t="s">
        <v>25</v>
      </c>
      <c r="I163" t="s">
        <v>26</v>
      </c>
      <c r="J163" t="s">
        <v>36</v>
      </c>
      <c r="K163" t="s">
        <v>37</v>
      </c>
      <c r="L163" t="s">
        <v>48</v>
      </c>
      <c r="M163" t="s">
        <v>49</v>
      </c>
      <c r="N163">
        <v>2</v>
      </c>
      <c r="O163">
        <v>3500</v>
      </c>
      <c r="P163">
        <v>5</v>
      </c>
      <c r="Q163">
        <v>6650</v>
      </c>
      <c r="R163" t="s">
        <v>40</v>
      </c>
      <c r="S163" t="s">
        <v>50</v>
      </c>
    </row>
    <row r="164" spans="1:19" x14ac:dyDescent="0.3">
      <c r="A164" t="s">
        <v>338</v>
      </c>
      <c r="B164" t="s">
        <v>339</v>
      </c>
      <c r="C164" t="s">
        <v>53</v>
      </c>
      <c r="D164" t="s">
        <v>44</v>
      </c>
      <c r="E164">
        <v>44</v>
      </c>
      <c r="F164" t="s">
        <v>23</v>
      </c>
      <c r="G164" t="s">
        <v>24</v>
      </c>
      <c r="H164" t="s">
        <v>25</v>
      </c>
      <c r="I164" t="s">
        <v>26</v>
      </c>
      <c r="J164" t="s">
        <v>27</v>
      </c>
      <c r="K164" t="s">
        <v>28</v>
      </c>
      <c r="L164" t="s">
        <v>68</v>
      </c>
      <c r="M164" t="s">
        <v>69</v>
      </c>
      <c r="N164">
        <v>2</v>
      </c>
      <c r="O164">
        <v>2500</v>
      </c>
      <c r="P164">
        <v>15</v>
      </c>
      <c r="Q164">
        <v>4250</v>
      </c>
      <c r="R164" t="s">
        <v>40</v>
      </c>
      <c r="S164" t="s">
        <v>21</v>
      </c>
    </row>
    <row r="165" spans="1:19" x14ac:dyDescent="0.3">
      <c r="A165" t="s">
        <v>340</v>
      </c>
      <c r="B165" t="s">
        <v>194</v>
      </c>
      <c r="C165" t="s">
        <v>43</v>
      </c>
      <c r="D165" t="s">
        <v>22</v>
      </c>
      <c r="E165">
        <v>57</v>
      </c>
      <c r="F165" t="s">
        <v>23</v>
      </c>
      <c r="G165" t="s">
        <v>45</v>
      </c>
      <c r="H165" t="s">
        <v>46</v>
      </c>
      <c r="I165" t="s">
        <v>47</v>
      </c>
      <c r="J165" t="s">
        <v>79</v>
      </c>
      <c r="K165" t="s">
        <v>80</v>
      </c>
      <c r="L165" t="s">
        <v>81</v>
      </c>
      <c r="M165" t="s">
        <v>82</v>
      </c>
      <c r="N165">
        <v>3</v>
      </c>
      <c r="O165">
        <v>2800</v>
      </c>
      <c r="P165">
        <v>5</v>
      </c>
      <c r="Q165">
        <v>7980</v>
      </c>
      <c r="R165" t="s">
        <v>61</v>
      </c>
      <c r="S165" t="s">
        <v>21</v>
      </c>
    </row>
    <row r="166" spans="1:19" x14ac:dyDescent="0.3">
      <c r="A166" t="s">
        <v>341</v>
      </c>
      <c r="B166" t="s">
        <v>56</v>
      </c>
      <c r="C166" t="s">
        <v>21</v>
      </c>
      <c r="D166" t="s">
        <v>44</v>
      </c>
      <c r="E166">
        <v>27</v>
      </c>
      <c r="F166" t="s">
        <v>23</v>
      </c>
      <c r="G166" t="s">
        <v>24</v>
      </c>
      <c r="H166" t="s">
        <v>25</v>
      </c>
      <c r="I166" t="s">
        <v>26</v>
      </c>
      <c r="J166" t="s">
        <v>27</v>
      </c>
      <c r="K166" t="s">
        <v>28</v>
      </c>
      <c r="L166" t="s">
        <v>29</v>
      </c>
      <c r="M166" t="s">
        <v>30</v>
      </c>
      <c r="N166">
        <v>4</v>
      </c>
      <c r="O166">
        <v>1200</v>
      </c>
      <c r="P166">
        <v>0</v>
      </c>
      <c r="Q166">
        <v>4800</v>
      </c>
      <c r="R166" t="s">
        <v>54</v>
      </c>
      <c r="S166" t="s">
        <v>32</v>
      </c>
    </row>
    <row r="167" spans="1:19" x14ac:dyDescent="0.3">
      <c r="A167" t="s">
        <v>342</v>
      </c>
      <c r="B167" t="s">
        <v>343</v>
      </c>
      <c r="C167" t="s">
        <v>105</v>
      </c>
      <c r="D167" t="s">
        <v>22</v>
      </c>
      <c r="E167">
        <v>32</v>
      </c>
      <c r="F167" t="s">
        <v>23</v>
      </c>
      <c r="G167" t="s">
        <v>45</v>
      </c>
      <c r="H167" t="s">
        <v>46</v>
      </c>
      <c r="I167" t="s">
        <v>47</v>
      </c>
      <c r="J167" t="s">
        <v>27</v>
      </c>
      <c r="K167" t="s">
        <v>28</v>
      </c>
      <c r="L167" t="s">
        <v>68</v>
      </c>
      <c r="M167" t="s">
        <v>69</v>
      </c>
      <c r="N167">
        <v>2</v>
      </c>
      <c r="O167">
        <v>2500</v>
      </c>
      <c r="P167">
        <v>5</v>
      </c>
      <c r="Q167">
        <v>4750</v>
      </c>
      <c r="R167" t="s">
        <v>31</v>
      </c>
      <c r="S167" t="s">
        <v>21</v>
      </c>
    </row>
    <row r="168" spans="1:19" x14ac:dyDescent="0.3">
      <c r="A168" t="s">
        <v>344</v>
      </c>
      <c r="B168" t="s">
        <v>136</v>
      </c>
      <c r="C168" t="s">
        <v>43</v>
      </c>
      <c r="D168" t="s">
        <v>22</v>
      </c>
      <c r="E168">
        <v>22</v>
      </c>
      <c r="F168" t="s">
        <v>23</v>
      </c>
      <c r="G168" t="s">
        <v>45</v>
      </c>
      <c r="H168" t="s">
        <v>46</v>
      </c>
      <c r="I168" t="s">
        <v>47</v>
      </c>
      <c r="J168" t="s">
        <v>90</v>
      </c>
      <c r="K168" t="s">
        <v>91</v>
      </c>
      <c r="L168" t="s">
        <v>92</v>
      </c>
      <c r="M168" t="s">
        <v>93</v>
      </c>
      <c r="N168">
        <v>2</v>
      </c>
      <c r="O168">
        <v>450</v>
      </c>
      <c r="P168">
        <v>15</v>
      </c>
      <c r="Q168">
        <v>765</v>
      </c>
      <c r="R168" t="s">
        <v>54</v>
      </c>
      <c r="S168" t="s">
        <v>50</v>
      </c>
    </row>
    <row r="169" spans="1:19" x14ac:dyDescent="0.3">
      <c r="A169" t="s">
        <v>345</v>
      </c>
      <c r="B169" t="s">
        <v>346</v>
      </c>
      <c r="C169" t="s">
        <v>78</v>
      </c>
      <c r="D169" t="s">
        <v>44</v>
      </c>
      <c r="E169">
        <v>58</v>
      </c>
      <c r="F169" t="s">
        <v>23</v>
      </c>
      <c r="G169" t="s">
        <v>24</v>
      </c>
      <c r="H169" t="s">
        <v>25</v>
      </c>
      <c r="I169" t="s">
        <v>26</v>
      </c>
      <c r="J169" t="s">
        <v>36</v>
      </c>
      <c r="K169" t="s">
        <v>37</v>
      </c>
      <c r="L169" t="s">
        <v>48</v>
      </c>
      <c r="M169" t="s">
        <v>49</v>
      </c>
      <c r="N169">
        <v>3</v>
      </c>
      <c r="O169">
        <v>3500</v>
      </c>
      <c r="P169">
        <v>0</v>
      </c>
      <c r="Q169">
        <v>10500</v>
      </c>
      <c r="R169" t="s">
        <v>40</v>
      </c>
      <c r="S169" t="s">
        <v>21</v>
      </c>
    </row>
    <row r="170" spans="1:19" x14ac:dyDescent="0.3">
      <c r="A170" t="s">
        <v>347</v>
      </c>
      <c r="B170" t="s">
        <v>199</v>
      </c>
      <c r="C170" t="s">
        <v>21</v>
      </c>
      <c r="D170" t="s">
        <v>22</v>
      </c>
      <c r="E170">
        <v>56</v>
      </c>
      <c r="F170" t="s">
        <v>23</v>
      </c>
      <c r="G170" t="s">
        <v>58</v>
      </c>
      <c r="H170" t="s">
        <v>59</v>
      </c>
      <c r="I170" t="s">
        <v>60</v>
      </c>
      <c r="J170" t="s">
        <v>36</v>
      </c>
      <c r="K170" t="s">
        <v>37</v>
      </c>
      <c r="L170" t="s">
        <v>38</v>
      </c>
      <c r="M170" t="s">
        <v>39</v>
      </c>
      <c r="N170">
        <v>1</v>
      </c>
      <c r="O170">
        <v>6500</v>
      </c>
      <c r="P170">
        <v>5</v>
      </c>
      <c r="Q170">
        <v>6175</v>
      </c>
      <c r="R170" t="s">
        <v>54</v>
      </c>
      <c r="S170" t="s">
        <v>50</v>
      </c>
    </row>
    <row r="171" spans="1:19" x14ac:dyDescent="0.3">
      <c r="A171" t="s">
        <v>348</v>
      </c>
      <c r="B171" t="s">
        <v>128</v>
      </c>
      <c r="C171" t="s">
        <v>102</v>
      </c>
      <c r="D171" t="s">
        <v>44</v>
      </c>
      <c r="E171">
        <v>38</v>
      </c>
      <c r="F171" t="s">
        <v>23</v>
      </c>
      <c r="G171" t="s">
        <v>24</v>
      </c>
      <c r="H171" t="s">
        <v>25</v>
      </c>
      <c r="I171" t="s">
        <v>26</v>
      </c>
      <c r="J171" t="s">
        <v>27</v>
      </c>
      <c r="K171" t="s">
        <v>28</v>
      </c>
      <c r="L171" t="s">
        <v>29</v>
      </c>
      <c r="M171" t="s">
        <v>30</v>
      </c>
      <c r="N171">
        <v>1</v>
      </c>
      <c r="O171">
        <v>1200</v>
      </c>
      <c r="P171">
        <v>0</v>
      </c>
      <c r="Q171">
        <v>1200</v>
      </c>
      <c r="R171" t="s">
        <v>54</v>
      </c>
      <c r="S171" t="s">
        <v>50</v>
      </c>
    </row>
    <row r="172" spans="1:19" x14ac:dyDescent="0.3">
      <c r="A172" t="s">
        <v>349</v>
      </c>
      <c r="B172" t="s">
        <v>104</v>
      </c>
      <c r="C172" t="s">
        <v>57</v>
      </c>
      <c r="D172" t="s">
        <v>22</v>
      </c>
      <c r="E172">
        <v>25</v>
      </c>
      <c r="F172" t="s">
        <v>23</v>
      </c>
      <c r="G172" t="s">
        <v>65</v>
      </c>
      <c r="H172" t="s">
        <v>66</v>
      </c>
      <c r="I172" t="s">
        <v>67</v>
      </c>
      <c r="J172" t="s">
        <v>79</v>
      </c>
      <c r="K172" t="s">
        <v>80</v>
      </c>
      <c r="L172" t="s">
        <v>81</v>
      </c>
      <c r="M172" t="s">
        <v>82</v>
      </c>
      <c r="N172">
        <v>4</v>
      </c>
      <c r="O172">
        <v>2800</v>
      </c>
      <c r="P172">
        <v>15</v>
      </c>
      <c r="Q172">
        <v>9520</v>
      </c>
      <c r="R172" t="s">
        <v>61</v>
      </c>
      <c r="S172" t="s">
        <v>50</v>
      </c>
    </row>
    <row r="173" spans="1:19" x14ac:dyDescent="0.3">
      <c r="A173" t="s">
        <v>350</v>
      </c>
      <c r="B173" t="s">
        <v>343</v>
      </c>
      <c r="C173" t="s">
        <v>50</v>
      </c>
      <c r="D173" t="s">
        <v>44</v>
      </c>
      <c r="E173">
        <v>43</v>
      </c>
      <c r="F173" t="s">
        <v>23</v>
      </c>
      <c r="G173" t="s">
        <v>24</v>
      </c>
      <c r="H173" t="s">
        <v>25</v>
      </c>
      <c r="I173" t="s">
        <v>26</v>
      </c>
      <c r="J173" t="s">
        <v>79</v>
      </c>
      <c r="K173" t="s">
        <v>80</v>
      </c>
      <c r="L173" t="s">
        <v>81</v>
      </c>
      <c r="M173" t="s">
        <v>82</v>
      </c>
      <c r="N173">
        <v>1</v>
      </c>
      <c r="O173">
        <v>2800</v>
      </c>
      <c r="P173">
        <v>15</v>
      </c>
      <c r="Q173">
        <v>2380</v>
      </c>
      <c r="R173" t="s">
        <v>54</v>
      </c>
      <c r="S173" t="s">
        <v>50</v>
      </c>
    </row>
    <row r="174" spans="1:19" x14ac:dyDescent="0.3">
      <c r="A174" t="s">
        <v>351</v>
      </c>
      <c r="B174" t="s">
        <v>324</v>
      </c>
      <c r="C174" t="s">
        <v>57</v>
      </c>
      <c r="D174" t="s">
        <v>44</v>
      </c>
      <c r="E174">
        <v>31</v>
      </c>
      <c r="F174" t="s">
        <v>23</v>
      </c>
      <c r="G174" t="s">
        <v>24</v>
      </c>
      <c r="H174" t="s">
        <v>25</v>
      </c>
      <c r="I174" t="s">
        <v>26</v>
      </c>
      <c r="J174" t="s">
        <v>27</v>
      </c>
      <c r="K174" t="s">
        <v>28</v>
      </c>
      <c r="L174" t="s">
        <v>68</v>
      </c>
      <c r="M174" t="s">
        <v>69</v>
      </c>
      <c r="N174">
        <v>2</v>
      </c>
      <c r="O174">
        <v>2500</v>
      </c>
      <c r="P174">
        <v>0</v>
      </c>
      <c r="Q174">
        <v>5000</v>
      </c>
      <c r="R174" t="s">
        <v>31</v>
      </c>
      <c r="S174" t="s">
        <v>70</v>
      </c>
    </row>
    <row r="175" spans="1:19" x14ac:dyDescent="0.3">
      <c r="A175" t="s">
        <v>352</v>
      </c>
      <c r="B175" t="s">
        <v>353</v>
      </c>
      <c r="C175" t="s">
        <v>105</v>
      </c>
      <c r="D175" t="s">
        <v>22</v>
      </c>
      <c r="E175">
        <v>58</v>
      </c>
      <c r="F175" t="s">
        <v>23</v>
      </c>
      <c r="G175" t="s">
        <v>65</v>
      </c>
      <c r="H175" t="s">
        <v>66</v>
      </c>
      <c r="I175" t="s">
        <v>67</v>
      </c>
      <c r="J175" t="s">
        <v>90</v>
      </c>
      <c r="K175" t="s">
        <v>91</v>
      </c>
      <c r="L175" t="s">
        <v>92</v>
      </c>
      <c r="M175" t="s">
        <v>93</v>
      </c>
      <c r="N175">
        <v>1</v>
      </c>
      <c r="O175">
        <v>450</v>
      </c>
      <c r="P175">
        <v>15</v>
      </c>
      <c r="Q175">
        <v>382.5</v>
      </c>
      <c r="R175" t="s">
        <v>40</v>
      </c>
      <c r="S175" t="s">
        <v>32</v>
      </c>
    </row>
    <row r="176" spans="1:19" x14ac:dyDescent="0.3">
      <c r="A176" t="s">
        <v>354</v>
      </c>
      <c r="B176" t="s">
        <v>314</v>
      </c>
      <c r="C176" t="s">
        <v>105</v>
      </c>
      <c r="D176" t="s">
        <v>22</v>
      </c>
      <c r="E176">
        <v>43</v>
      </c>
      <c r="F176" t="s">
        <v>23</v>
      </c>
      <c r="G176" t="s">
        <v>58</v>
      </c>
      <c r="H176" t="s">
        <v>59</v>
      </c>
      <c r="I176" t="s">
        <v>60</v>
      </c>
      <c r="J176" t="s">
        <v>36</v>
      </c>
      <c r="K176" t="s">
        <v>37</v>
      </c>
      <c r="L176" t="s">
        <v>48</v>
      </c>
      <c r="M176" t="s">
        <v>49</v>
      </c>
      <c r="N176">
        <v>2</v>
      </c>
      <c r="O176">
        <v>3500</v>
      </c>
      <c r="P176">
        <v>10</v>
      </c>
      <c r="Q176">
        <v>6300</v>
      </c>
      <c r="R176" t="s">
        <v>40</v>
      </c>
      <c r="S176" t="s">
        <v>70</v>
      </c>
    </row>
    <row r="177" spans="1:19" x14ac:dyDescent="0.3">
      <c r="A177" t="s">
        <v>355</v>
      </c>
      <c r="B177" t="s">
        <v>356</v>
      </c>
      <c r="C177" t="s">
        <v>78</v>
      </c>
      <c r="D177" t="s">
        <v>44</v>
      </c>
      <c r="E177">
        <v>59</v>
      </c>
      <c r="F177" t="s">
        <v>23</v>
      </c>
      <c r="G177" t="s">
        <v>73</v>
      </c>
      <c r="H177" t="s">
        <v>74</v>
      </c>
      <c r="I177" t="s">
        <v>75</v>
      </c>
      <c r="J177" t="s">
        <v>36</v>
      </c>
      <c r="K177" t="s">
        <v>37</v>
      </c>
      <c r="L177" t="s">
        <v>48</v>
      </c>
      <c r="M177" t="s">
        <v>49</v>
      </c>
      <c r="N177">
        <v>2</v>
      </c>
      <c r="O177">
        <v>3500</v>
      </c>
      <c r="P177">
        <v>0</v>
      </c>
      <c r="Q177">
        <v>7000</v>
      </c>
      <c r="R177" t="s">
        <v>40</v>
      </c>
      <c r="S177" t="s">
        <v>50</v>
      </c>
    </row>
    <row r="178" spans="1:19" x14ac:dyDescent="0.3">
      <c r="A178" t="s">
        <v>357</v>
      </c>
      <c r="B178" t="s">
        <v>278</v>
      </c>
      <c r="C178" t="s">
        <v>35</v>
      </c>
      <c r="D178" t="s">
        <v>44</v>
      </c>
      <c r="E178">
        <v>20</v>
      </c>
      <c r="F178" t="s">
        <v>23</v>
      </c>
      <c r="G178" t="s">
        <v>24</v>
      </c>
      <c r="H178" t="s">
        <v>25</v>
      </c>
      <c r="I178" t="s">
        <v>26</v>
      </c>
      <c r="J178" t="s">
        <v>36</v>
      </c>
      <c r="K178" t="s">
        <v>37</v>
      </c>
      <c r="L178" t="s">
        <v>38</v>
      </c>
      <c r="M178" t="s">
        <v>39</v>
      </c>
      <c r="N178">
        <v>5</v>
      </c>
      <c r="O178">
        <v>6500</v>
      </c>
      <c r="P178">
        <v>10</v>
      </c>
      <c r="Q178">
        <v>29250</v>
      </c>
      <c r="R178" t="s">
        <v>40</v>
      </c>
      <c r="S178" t="s">
        <v>70</v>
      </c>
    </row>
    <row r="179" spans="1:19" x14ac:dyDescent="0.3">
      <c r="A179" t="s">
        <v>358</v>
      </c>
      <c r="B179" t="s">
        <v>283</v>
      </c>
      <c r="C179" t="s">
        <v>50</v>
      </c>
      <c r="D179" t="s">
        <v>44</v>
      </c>
      <c r="E179">
        <v>41</v>
      </c>
      <c r="F179" t="s">
        <v>23</v>
      </c>
      <c r="G179" t="s">
        <v>65</v>
      </c>
      <c r="H179" t="s">
        <v>66</v>
      </c>
      <c r="I179" t="s">
        <v>67</v>
      </c>
      <c r="J179" t="s">
        <v>90</v>
      </c>
      <c r="K179" t="s">
        <v>91</v>
      </c>
      <c r="L179" t="s">
        <v>92</v>
      </c>
      <c r="M179" t="s">
        <v>93</v>
      </c>
      <c r="N179">
        <v>3</v>
      </c>
      <c r="O179">
        <v>450</v>
      </c>
      <c r="P179">
        <v>0</v>
      </c>
      <c r="Q179">
        <v>1350</v>
      </c>
      <c r="R179" t="s">
        <v>31</v>
      </c>
      <c r="S179" t="s">
        <v>21</v>
      </c>
    </row>
    <row r="180" spans="1:19" x14ac:dyDescent="0.3">
      <c r="A180" t="s">
        <v>359</v>
      </c>
      <c r="B180" t="s">
        <v>360</v>
      </c>
      <c r="C180" t="s">
        <v>57</v>
      </c>
      <c r="D180" t="s">
        <v>44</v>
      </c>
      <c r="E180">
        <v>19</v>
      </c>
      <c r="F180" t="s">
        <v>23</v>
      </c>
      <c r="G180" t="s">
        <v>58</v>
      </c>
      <c r="H180" t="s">
        <v>59</v>
      </c>
      <c r="I180" t="s">
        <v>60</v>
      </c>
      <c r="J180" t="s">
        <v>27</v>
      </c>
      <c r="K180" t="s">
        <v>28</v>
      </c>
      <c r="L180" t="s">
        <v>68</v>
      </c>
      <c r="M180" t="s">
        <v>69</v>
      </c>
      <c r="N180">
        <v>5</v>
      </c>
      <c r="O180">
        <v>2500</v>
      </c>
      <c r="P180">
        <v>0</v>
      </c>
      <c r="Q180">
        <v>12500</v>
      </c>
      <c r="R180" t="s">
        <v>31</v>
      </c>
      <c r="S180" t="s">
        <v>21</v>
      </c>
    </row>
    <row r="181" spans="1:19" x14ac:dyDescent="0.3">
      <c r="A181" t="s">
        <v>361</v>
      </c>
      <c r="B181" t="s">
        <v>267</v>
      </c>
      <c r="C181" t="s">
        <v>43</v>
      </c>
      <c r="D181" t="s">
        <v>22</v>
      </c>
      <c r="E181">
        <v>26</v>
      </c>
      <c r="F181" t="s">
        <v>23</v>
      </c>
      <c r="G181" t="s">
        <v>73</v>
      </c>
      <c r="H181" t="s">
        <v>74</v>
      </c>
      <c r="I181" t="s">
        <v>75</v>
      </c>
      <c r="J181" t="s">
        <v>36</v>
      </c>
      <c r="K181" t="s">
        <v>37</v>
      </c>
      <c r="L181" t="s">
        <v>48</v>
      </c>
      <c r="M181" t="s">
        <v>49</v>
      </c>
      <c r="N181">
        <v>4</v>
      </c>
      <c r="O181">
        <v>3500</v>
      </c>
      <c r="P181">
        <v>15</v>
      </c>
      <c r="Q181">
        <v>11900</v>
      </c>
      <c r="R181" t="s">
        <v>40</v>
      </c>
      <c r="S181" t="s">
        <v>70</v>
      </c>
    </row>
    <row r="182" spans="1:19" x14ac:dyDescent="0.3">
      <c r="A182" t="s">
        <v>362</v>
      </c>
      <c r="B182" t="s">
        <v>363</v>
      </c>
      <c r="C182" t="s">
        <v>78</v>
      </c>
      <c r="D182" t="s">
        <v>22</v>
      </c>
      <c r="E182">
        <v>53</v>
      </c>
      <c r="F182" t="s">
        <v>23</v>
      </c>
      <c r="G182" t="s">
        <v>45</v>
      </c>
      <c r="H182" t="s">
        <v>46</v>
      </c>
      <c r="I182" t="s">
        <v>47</v>
      </c>
      <c r="J182" t="s">
        <v>36</v>
      </c>
      <c r="K182" t="s">
        <v>37</v>
      </c>
      <c r="L182" t="s">
        <v>38</v>
      </c>
      <c r="M182" t="s">
        <v>39</v>
      </c>
      <c r="N182">
        <v>4</v>
      </c>
      <c r="O182">
        <v>6500</v>
      </c>
      <c r="P182">
        <v>15</v>
      </c>
      <c r="Q182">
        <v>22100</v>
      </c>
      <c r="R182" t="s">
        <v>40</v>
      </c>
      <c r="S182" t="s">
        <v>50</v>
      </c>
    </row>
    <row r="183" spans="1:19" x14ac:dyDescent="0.3">
      <c r="A183" t="s">
        <v>364</v>
      </c>
      <c r="B183" t="s">
        <v>365</v>
      </c>
      <c r="C183" t="s">
        <v>43</v>
      </c>
      <c r="D183" t="s">
        <v>44</v>
      </c>
      <c r="E183">
        <v>30</v>
      </c>
      <c r="F183" t="s">
        <v>23</v>
      </c>
      <c r="G183" t="s">
        <v>45</v>
      </c>
      <c r="H183" t="s">
        <v>46</v>
      </c>
      <c r="I183" t="s">
        <v>47</v>
      </c>
      <c r="J183" t="s">
        <v>27</v>
      </c>
      <c r="K183" t="s">
        <v>28</v>
      </c>
      <c r="L183" t="s">
        <v>68</v>
      </c>
      <c r="M183" t="s">
        <v>69</v>
      </c>
      <c r="N183">
        <v>5</v>
      </c>
      <c r="O183">
        <v>2500</v>
      </c>
      <c r="P183">
        <v>15</v>
      </c>
      <c r="Q183">
        <v>10625</v>
      </c>
      <c r="R183" t="s">
        <v>31</v>
      </c>
      <c r="S183" t="s">
        <v>70</v>
      </c>
    </row>
    <row r="184" spans="1:19" x14ac:dyDescent="0.3">
      <c r="A184" t="s">
        <v>366</v>
      </c>
      <c r="B184" t="s">
        <v>318</v>
      </c>
      <c r="C184" t="s">
        <v>57</v>
      </c>
      <c r="D184" t="s">
        <v>44</v>
      </c>
      <c r="E184">
        <v>35</v>
      </c>
      <c r="F184" t="s">
        <v>23</v>
      </c>
      <c r="G184" t="s">
        <v>65</v>
      </c>
      <c r="H184" t="s">
        <v>66</v>
      </c>
      <c r="I184" t="s">
        <v>67</v>
      </c>
      <c r="J184" t="s">
        <v>79</v>
      </c>
      <c r="K184" t="s">
        <v>80</v>
      </c>
      <c r="L184" t="s">
        <v>81</v>
      </c>
      <c r="M184" t="s">
        <v>82</v>
      </c>
      <c r="N184">
        <v>1</v>
      </c>
      <c r="O184">
        <v>2800</v>
      </c>
      <c r="P184">
        <v>5</v>
      </c>
      <c r="Q184">
        <v>2660</v>
      </c>
      <c r="R184" t="s">
        <v>40</v>
      </c>
      <c r="S184" t="s">
        <v>21</v>
      </c>
    </row>
    <row r="185" spans="1:19" x14ac:dyDescent="0.3">
      <c r="A185" t="s">
        <v>367</v>
      </c>
      <c r="B185" t="s">
        <v>259</v>
      </c>
      <c r="C185" t="s">
        <v>21</v>
      </c>
      <c r="D185" t="s">
        <v>22</v>
      </c>
      <c r="E185">
        <v>44</v>
      </c>
      <c r="F185" t="s">
        <v>23</v>
      </c>
      <c r="G185" t="s">
        <v>65</v>
      </c>
      <c r="H185" t="s">
        <v>66</v>
      </c>
      <c r="I185" t="s">
        <v>67</v>
      </c>
      <c r="J185" t="s">
        <v>27</v>
      </c>
      <c r="K185" t="s">
        <v>28</v>
      </c>
      <c r="L185" t="s">
        <v>29</v>
      </c>
      <c r="M185" t="s">
        <v>30</v>
      </c>
      <c r="N185">
        <v>3</v>
      </c>
      <c r="O185">
        <v>1200</v>
      </c>
      <c r="P185">
        <v>5</v>
      </c>
      <c r="Q185">
        <v>3420</v>
      </c>
      <c r="R185" t="s">
        <v>40</v>
      </c>
      <c r="S185" t="s">
        <v>70</v>
      </c>
    </row>
    <row r="186" spans="1:19" x14ac:dyDescent="0.3">
      <c r="A186" t="s">
        <v>368</v>
      </c>
      <c r="B186" t="s">
        <v>369</v>
      </c>
      <c r="C186" t="s">
        <v>50</v>
      </c>
      <c r="D186" t="s">
        <v>22</v>
      </c>
      <c r="E186">
        <v>37</v>
      </c>
      <c r="F186" t="s">
        <v>23</v>
      </c>
      <c r="G186" t="s">
        <v>58</v>
      </c>
      <c r="H186" t="s">
        <v>59</v>
      </c>
      <c r="I186" t="s">
        <v>60</v>
      </c>
      <c r="J186" t="s">
        <v>27</v>
      </c>
      <c r="K186" t="s">
        <v>28</v>
      </c>
      <c r="L186" t="s">
        <v>68</v>
      </c>
      <c r="M186" t="s">
        <v>69</v>
      </c>
      <c r="N186">
        <v>4</v>
      </c>
      <c r="O186">
        <v>2500</v>
      </c>
      <c r="P186">
        <v>15</v>
      </c>
      <c r="Q186">
        <v>8500</v>
      </c>
      <c r="R186" t="s">
        <v>54</v>
      </c>
      <c r="S186" t="s">
        <v>70</v>
      </c>
    </row>
    <row r="187" spans="1:19" x14ac:dyDescent="0.3">
      <c r="A187" t="s">
        <v>370</v>
      </c>
      <c r="B187" t="s">
        <v>214</v>
      </c>
      <c r="C187" t="s">
        <v>57</v>
      </c>
      <c r="D187" t="s">
        <v>44</v>
      </c>
      <c r="E187">
        <v>52</v>
      </c>
      <c r="F187" t="s">
        <v>23</v>
      </c>
      <c r="G187" t="s">
        <v>73</v>
      </c>
      <c r="H187" t="s">
        <v>74</v>
      </c>
      <c r="I187" t="s">
        <v>75</v>
      </c>
      <c r="J187" t="s">
        <v>27</v>
      </c>
      <c r="K187" t="s">
        <v>28</v>
      </c>
      <c r="L187" t="s">
        <v>68</v>
      </c>
      <c r="M187" t="s">
        <v>69</v>
      </c>
      <c r="N187">
        <v>4</v>
      </c>
      <c r="O187">
        <v>2500</v>
      </c>
      <c r="P187">
        <v>0</v>
      </c>
      <c r="Q187">
        <v>10000</v>
      </c>
      <c r="R187" t="s">
        <v>31</v>
      </c>
      <c r="S187" t="s">
        <v>21</v>
      </c>
    </row>
    <row r="188" spans="1:19" x14ac:dyDescent="0.3">
      <c r="A188" t="s">
        <v>371</v>
      </c>
      <c r="B188" t="s">
        <v>372</v>
      </c>
      <c r="C188" t="s">
        <v>102</v>
      </c>
      <c r="D188" t="s">
        <v>44</v>
      </c>
      <c r="E188">
        <v>54</v>
      </c>
      <c r="F188" t="s">
        <v>23</v>
      </c>
      <c r="G188" t="s">
        <v>73</v>
      </c>
      <c r="H188" t="s">
        <v>74</v>
      </c>
      <c r="I188" t="s">
        <v>75</v>
      </c>
      <c r="J188" t="s">
        <v>90</v>
      </c>
      <c r="K188" t="s">
        <v>91</v>
      </c>
      <c r="L188" t="s">
        <v>92</v>
      </c>
      <c r="M188" t="s">
        <v>93</v>
      </c>
      <c r="N188">
        <v>5</v>
      </c>
      <c r="O188">
        <v>450</v>
      </c>
      <c r="P188">
        <v>10</v>
      </c>
      <c r="Q188">
        <v>2025</v>
      </c>
      <c r="R188" t="s">
        <v>31</v>
      </c>
      <c r="S188" t="s">
        <v>21</v>
      </c>
    </row>
    <row r="189" spans="1:19" x14ac:dyDescent="0.3">
      <c r="A189" t="s">
        <v>373</v>
      </c>
      <c r="B189" t="s">
        <v>374</v>
      </c>
      <c r="C189" t="s">
        <v>64</v>
      </c>
      <c r="D189" t="s">
        <v>44</v>
      </c>
      <c r="E189">
        <v>19</v>
      </c>
      <c r="F189" t="s">
        <v>23</v>
      </c>
      <c r="G189" t="s">
        <v>73</v>
      </c>
      <c r="H189" t="s">
        <v>74</v>
      </c>
      <c r="I189" t="s">
        <v>75</v>
      </c>
      <c r="J189" t="s">
        <v>90</v>
      </c>
      <c r="K189" t="s">
        <v>91</v>
      </c>
      <c r="L189" t="s">
        <v>92</v>
      </c>
      <c r="M189" t="s">
        <v>93</v>
      </c>
      <c r="N189">
        <v>4</v>
      </c>
      <c r="O189">
        <v>450</v>
      </c>
      <c r="P189">
        <v>5</v>
      </c>
      <c r="Q189">
        <v>1710</v>
      </c>
      <c r="R189" t="s">
        <v>40</v>
      </c>
      <c r="S189" t="s">
        <v>21</v>
      </c>
    </row>
    <row r="190" spans="1:19" x14ac:dyDescent="0.3">
      <c r="A190" t="s">
        <v>375</v>
      </c>
      <c r="B190" t="s">
        <v>257</v>
      </c>
      <c r="C190" t="s">
        <v>102</v>
      </c>
      <c r="D190" t="s">
        <v>22</v>
      </c>
      <c r="E190">
        <v>60</v>
      </c>
      <c r="F190" t="s">
        <v>23</v>
      </c>
      <c r="G190" t="s">
        <v>45</v>
      </c>
      <c r="H190" t="s">
        <v>46</v>
      </c>
      <c r="I190" t="s">
        <v>47</v>
      </c>
      <c r="J190" t="s">
        <v>27</v>
      </c>
      <c r="K190" t="s">
        <v>28</v>
      </c>
      <c r="L190" t="s">
        <v>29</v>
      </c>
      <c r="M190" t="s">
        <v>30</v>
      </c>
      <c r="N190">
        <v>1</v>
      </c>
      <c r="O190">
        <v>1200</v>
      </c>
      <c r="P190">
        <v>0</v>
      </c>
      <c r="Q190">
        <v>1200</v>
      </c>
      <c r="R190" t="s">
        <v>31</v>
      </c>
      <c r="S190" t="s">
        <v>32</v>
      </c>
    </row>
    <row r="191" spans="1:19" x14ac:dyDescent="0.3">
      <c r="A191" t="s">
        <v>376</v>
      </c>
      <c r="B191" t="s">
        <v>377</v>
      </c>
      <c r="C191" t="s">
        <v>53</v>
      </c>
      <c r="D191" t="s">
        <v>22</v>
      </c>
      <c r="E191">
        <v>21</v>
      </c>
      <c r="F191" t="s">
        <v>23</v>
      </c>
      <c r="G191" t="s">
        <v>73</v>
      </c>
      <c r="H191" t="s">
        <v>74</v>
      </c>
      <c r="I191" t="s">
        <v>75</v>
      </c>
      <c r="J191" t="s">
        <v>27</v>
      </c>
      <c r="K191" t="s">
        <v>28</v>
      </c>
      <c r="L191" t="s">
        <v>29</v>
      </c>
      <c r="M191" t="s">
        <v>30</v>
      </c>
      <c r="N191">
        <v>5</v>
      </c>
      <c r="O191">
        <v>1200</v>
      </c>
      <c r="P191">
        <v>10</v>
      </c>
      <c r="Q191">
        <v>5400</v>
      </c>
      <c r="R191" t="s">
        <v>31</v>
      </c>
      <c r="S191" t="s">
        <v>70</v>
      </c>
    </row>
    <row r="192" spans="1:19" x14ac:dyDescent="0.3">
      <c r="A192" t="s">
        <v>378</v>
      </c>
      <c r="B192" t="s">
        <v>177</v>
      </c>
      <c r="C192" t="s">
        <v>105</v>
      </c>
      <c r="D192" t="s">
        <v>22</v>
      </c>
      <c r="E192">
        <v>34</v>
      </c>
      <c r="F192" t="s">
        <v>23</v>
      </c>
      <c r="G192" t="s">
        <v>65</v>
      </c>
      <c r="H192" t="s">
        <v>66</v>
      </c>
      <c r="I192" t="s">
        <v>67</v>
      </c>
      <c r="J192" t="s">
        <v>27</v>
      </c>
      <c r="K192" t="s">
        <v>28</v>
      </c>
      <c r="L192" t="s">
        <v>68</v>
      </c>
      <c r="M192" t="s">
        <v>69</v>
      </c>
      <c r="N192">
        <v>3</v>
      </c>
      <c r="O192">
        <v>2500</v>
      </c>
      <c r="P192">
        <v>10</v>
      </c>
      <c r="Q192">
        <v>6750</v>
      </c>
      <c r="R192" t="s">
        <v>40</v>
      </c>
      <c r="S192" t="s">
        <v>21</v>
      </c>
    </row>
    <row r="193" spans="1:19" x14ac:dyDescent="0.3">
      <c r="A193" t="s">
        <v>379</v>
      </c>
      <c r="B193" t="s">
        <v>179</v>
      </c>
      <c r="C193" t="s">
        <v>35</v>
      </c>
      <c r="D193" t="s">
        <v>22</v>
      </c>
      <c r="E193">
        <v>29</v>
      </c>
      <c r="F193" t="s">
        <v>23</v>
      </c>
      <c r="G193" t="s">
        <v>45</v>
      </c>
      <c r="H193" t="s">
        <v>46</v>
      </c>
      <c r="I193" t="s">
        <v>47</v>
      </c>
      <c r="J193" t="s">
        <v>90</v>
      </c>
      <c r="K193" t="s">
        <v>91</v>
      </c>
      <c r="L193" t="s">
        <v>92</v>
      </c>
      <c r="M193" t="s">
        <v>93</v>
      </c>
      <c r="N193">
        <v>3</v>
      </c>
      <c r="O193">
        <v>450</v>
      </c>
      <c r="P193">
        <v>5</v>
      </c>
      <c r="Q193">
        <v>1282.5</v>
      </c>
      <c r="R193" t="s">
        <v>40</v>
      </c>
      <c r="S193" t="s">
        <v>50</v>
      </c>
    </row>
    <row r="194" spans="1:19" x14ac:dyDescent="0.3">
      <c r="A194" t="s">
        <v>380</v>
      </c>
      <c r="B194" t="s">
        <v>194</v>
      </c>
      <c r="C194" t="s">
        <v>43</v>
      </c>
      <c r="D194" t="s">
        <v>44</v>
      </c>
      <c r="E194">
        <v>32</v>
      </c>
      <c r="F194" t="s">
        <v>23</v>
      </c>
      <c r="G194" t="s">
        <v>45</v>
      </c>
      <c r="H194" t="s">
        <v>46</v>
      </c>
      <c r="I194" t="s">
        <v>47</v>
      </c>
      <c r="J194" t="s">
        <v>90</v>
      </c>
      <c r="K194" t="s">
        <v>91</v>
      </c>
      <c r="L194" t="s">
        <v>92</v>
      </c>
      <c r="M194" t="s">
        <v>93</v>
      </c>
      <c r="N194">
        <v>1</v>
      </c>
      <c r="O194">
        <v>450</v>
      </c>
      <c r="P194">
        <v>5</v>
      </c>
      <c r="Q194">
        <v>427.5</v>
      </c>
      <c r="R194" t="s">
        <v>31</v>
      </c>
      <c r="S194" t="s">
        <v>70</v>
      </c>
    </row>
    <row r="195" spans="1:19" x14ac:dyDescent="0.3">
      <c r="A195" t="s">
        <v>381</v>
      </c>
      <c r="B195" t="s">
        <v>281</v>
      </c>
      <c r="C195" t="s">
        <v>57</v>
      </c>
      <c r="D195" t="s">
        <v>44</v>
      </c>
      <c r="E195">
        <v>57</v>
      </c>
      <c r="F195" t="s">
        <v>23</v>
      </c>
      <c r="G195" t="s">
        <v>24</v>
      </c>
      <c r="H195" t="s">
        <v>25</v>
      </c>
      <c r="I195" t="s">
        <v>26</v>
      </c>
      <c r="J195" t="s">
        <v>36</v>
      </c>
      <c r="K195" t="s">
        <v>37</v>
      </c>
      <c r="L195" t="s">
        <v>38</v>
      </c>
      <c r="M195" t="s">
        <v>39</v>
      </c>
      <c r="N195">
        <v>5</v>
      </c>
      <c r="O195">
        <v>6500</v>
      </c>
      <c r="P195">
        <v>5</v>
      </c>
      <c r="Q195">
        <v>30875</v>
      </c>
      <c r="R195" t="s">
        <v>40</v>
      </c>
      <c r="S195" t="s">
        <v>70</v>
      </c>
    </row>
    <row r="196" spans="1:19" x14ac:dyDescent="0.3">
      <c r="A196" t="s">
        <v>382</v>
      </c>
      <c r="B196" t="s">
        <v>142</v>
      </c>
      <c r="C196" t="s">
        <v>102</v>
      </c>
      <c r="D196" t="s">
        <v>22</v>
      </c>
      <c r="E196">
        <v>57</v>
      </c>
      <c r="F196" t="s">
        <v>23</v>
      </c>
      <c r="G196" t="s">
        <v>45</v>
      </c>
      <c r="H196" t="s">
        <v>46</v>
      </c>
      <c r="I196" t="s">
        <v>47</v>
      </c>
      <c r="J196" t="s">
        <v>27</v>
      </c>
      <c r="K196" t="s">
        <v>28</v>
      </c>
      <c r="L196" t="s">
        <v>29</v>
      </c>
      <c r="M196" t="s">
        <v>30</v>
      </c>
      <c r="N196">
        <v>2</v>
      </c>
      <c r="O196">
        <v>1200</v>
      </c>
      <c r="P196">
        <v>10</v>
      </c>
      <c r="Q196">
        <v>2160</v>
      </c>
      <c r="R196" t="s">
        <v>61</v>
      </c>
      <c r="S196" t="s">
        <v>21</v>
      </c>
    </row>
    <row r="197" spans="1:19" x14ac:dyDescent="0.3">
      <c r="A197" t="s">
        <v>383</v>
      </c>
      <c r="B197" t="s">
        <v>275</v>
      </c>
      <c r="C197" t="s">
        <v>50</v>
      </c>
      <c r="D197" t="s">
        <v>22</v>
      </c>
      <c r="E197">
        <v>33</v>
      </c>
      <c r="F197" t="s">
        <v>23</v>
      </c>
      <c r="G197" t="s">
        <v>45</v>
      </c>
      <c r="H197" t="s">
        <v>46</v>
      </c>
      <c r="I197" t="s">
        <v>47</v>
      </c>
      <c r="J197" t="s">
        <v>90</v>
      </c>
      <c r="K197" t="s">
        <v>91</v>
      </c>
      <c r="L197" t="s">
        <v>92</v>
      </c>
      <c r="M197" t="s">
        <v>93</v>
      </c>
      <c r="N197">
        <v>3</v>
      </c>
      <c r="O197">
        <v>450</v>
      </c>
      <c r="P197">
        <v>15</v>
      </c>
      <c r="Q197">
        <v>1147.5</v>
      </c>
      <c r="R197" t="s">
        <v>31</v>
      </c>
      <c r="S197" t="s">
        <v>21</v>
      </c>
    </row>
    <row r="198" spans="1:19" x14ac:dyDescent="0.3">
      <c r="A198" t="s">
        <v>384</v>
      </c>
      <c r="B198" t="s">
        <v>385</v>
      </c>
      <c r="C198" t="s">
        <v>35</v>
      </c>
      <c r="D198" t="s">
        <v>22</v>
      </c>
      <c r="E198">
        <v>34</v>
      </c>
      <c r="F198" t="s">
        <v>23</v>
      </c>
      <c r="G198" t="s">
        <v>73</v>
      </c>
      <c r="H198" t="s">
        <v>74</v>
      </c>
      <c r="I198" t="s">
        <v>75</v>
      </c>
      <c r="J198" t="s">
        <v>90</v>
      </c>
      <c r="K198" t="s">
        <v>91</v>
      </c>
      <c r="L198" t="s">
        <v>92</v>
      </c>
      <c r="M198" t="s">
        <v>93</v>
      </c>
      <c r="N198">
        <v>5</v>
      </c>
      <c r="O198">
        <v>450</v>
      </c>
      <c r="P198">
        <v>5</v>
      </c>
      <c r="Q198">
        <v>2137.5</v>
      </c>
      <c r="R198" t="s">
        <v>61</v>
      </c>
      <c r="S198" t="s">
        <v>32</v>
      </c>
    </row>
    <row r="199" spans="1:19" x14ac:dyDescent="0.3">
      <c r="A199" t="s">
        <v>386</v>
      </c>
      <c r="B199" t="s">
        <v>177</v>
      </c>
      <c r="C199" t="s">
        <v>50</v>
      </c>
      <c r="D199" t="s">
        <v>22</v>
      </c>
      <c r="E199">
        <v>24</v>
      </c>
      <c r="F199" t="s">
        <v>23</v>
      </c>
      <c r="G199" t="s">
        <v>58</v>
      </c>
      <c r="H199" t="s">
        <v>59</v>
      </c>
      <c r="I199" t="s">
        <v>60</v>
      </c>
      <c r="J199" t="s">
        <v>27</v>
      </c>
      <c r="K199" t="s">
        <v>28</v>
      </c>
      <c r="L199" t="s">
        <v>29</v>
      </c>
      <c r="M199" t="s">
        <v>30</v>
      </c>
      <c r="N199">
        <v>3</v>
      </c>
      <c r="O199">
        <v>1200</v>
      </c>
      <c r="P199">
        <v>5</v>
      </c>
      <c r="Q199">
        <v>3420</v>
      </c>
      <c r="R199" t="s">
        <v>61</v>
      </c>
      <c r="S199" t="s">
        <v>50</v>
      </c>
    </row>
    <row r="200" spans="1:19" x14ac:dyDescent="0.3">
      <c r="A200" t="s">
        <v>387</v>
      </c>
      <c r="B200" t="s">
        <v>112</v>
      </c>
      <c r="C200" t="s">
        <v>102</v>
      </c>
      <c r="D200" t="s">
        <v>22</v>
      </c>
      <c r="E200">
        <v>43</v>
      </c>
      <c r="F200" t="s">
        <v>23</v>
      </c>
      <c r="G200" t="s">
        <v>24</v>
      </c>
      <c r="H200" t="s">
        <v>25</v>
      </c>
      <c r="I200" t="s">
        <v>26</v>
      </c>
      <c r="J200" t="s">
        <v>90</v>
      </c>
      <c r="K200" t="s">
        <v>91</v>
      </c>
      <c r="L200" t="s">
        <v>92</v>
      </c>
      <c r="M200" t="s">
        <v>93</v>
      </c>
      <c r="N200">
        <v>4</v>
      </c>
      <c r="O200">
        <v>450</v>
      </c>
      <c r="P200">
        <v>5</v>
      </c>
      <c r="Q200">
        <v>1710</v>
      </c>
      <c r="R200" t="s">
        <v>61</v>
      </c>
      <c r="S200" t="s">
        <v>50</v>
      </c>
    </row>
    <row r="201" spans="1:19" x14ac:dyDescent="0.3">
      <c r="A201" t="s">
        <v>388</v>
      </c>
      <c r="B201" t="s">
        <v>184</v>
      </c>
      <c r="C201" t="s">
        <v>35</v>
      </c>
      <c r="D201" t="s">
        <v>22</v>
      </c>
      <c r="E201">
        <v>47</v>
      </c>
      <c r="F201" t="s">
        <v>23</v>
      </c>
      <c r="G201" t="s">
        <v>24</v>
      </c>
      <c r="H201" t="s">
        <v>25</v>
      </c>
      <c r="I201" t="s">
        <v>26</v>
      </c>
      <c r="J201" t="s">
        <v>90</v>
      </c>
      <c r="K201" t="s">
        <v>91</v>
      </c>
      <c r="L201" t="s">
        <v>92</v>
      </c>
      <c r="M201" t="s">
        <v>93</v>
      </c>
      <c r="N201">
        <v>4</v>
      </c>
      <c r="O201">
        <v>450</v>
      </c>
      <c r="P201">
        <v>15</v>
      </c>
      <c r="Q201">
        <v>1530</v>
      </c>
      <c r="R201" t="s">
        <v>40</v>
      </c>
      <c r="S201" t="s">
        <v>70</v>
      </c>
    </row>
    <row r="202" spans="1:19" x14ac:dyDescent="0.3">
      <c r="A202">
        <f>COUNTA(Table1[Bill No])</f>
        <v>200</v>
      </c>
      <c r="N202">
        <f>SUBTOTAL(109,Table1[Qty])</f>
        <v>603</v>
      </c>
      <c r="Q202" s="3">
        <f>SUBTOTAL(109,Table1[Net Sales])</f>
        <v>1434957.5</v>
      </c>
    </row>
    <row r="203" spans="1:19" x14ac:dyDescent="0.3">
      <c r="Q203" s="3">
        <f>AVERAGE(Table1[Net Sales])</f>
        <v>7174.7875000000004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0"/>
  <sheetViews>
    <sheetView workbookViewId="0">
      <selection activeCell="O2" sqref="O2"/>
    </sheetView>
  </sheetViews>
  <sheetFormatPr defaultRowHeight="14.4" x14ac:dyDescent="0.3"/>
  <cols>
    <col min="1" max="1" width="12.5546875" customWidth="1"/>
    <col min="2" max="2" width="15.21875" bestFit="1" customWidth="1"/>
    <col min="3" max="3" width="15.6640625" bestFit="1" customWidth="1"/>
    <col min="4" max="4" width="16.77734375" bestFit="1" customWidth="1"/>
  </cols>
  <sheetData>
    <row r="1" spans="1:2" x14ac:dyDescent="0.3">
      <c r="A1" s="1" t="s">
        <v>389</v>
      </c>
      <c r="B1" t="s">
        <v>391</v>
      </c>
    </row>
    <row r="2" spans="1:2" x14ac:dyDescent="0.3">
      <c r="A2" s="2" t="s">
        <v>24</v>
      </c>
      <c r="B2" s="3">
        <v>335735</v>
      </c>
    </row>
    <row r="3" spans="1:2" x14ac:dyDescent="0.3">
      <c r="A3" s="2" t="s">
        <v>73</v>
      </c>
      <c r="B3" s="3">
        <v>296937.5</v>
      </c>
    </row>
    <row r="4" spans="1:2" x14ac:dyDescent="0.3">
      <c r="A4" s="2" t="s">
        <v>45</v>
      </c>
      <c r="B4" s="3">
        <v>253590</v>
      </c>
    </row>
    <row r="5" spans="1:2" x14ac:dyDescent="0.3">
      <c r="A5" s="2" t="s">
        <v>58</v>
      </c>
      <c r="B5" s="3">
        <v>261825</v>
      </c>
    </row>
    <row r="6" spans="1:2" x14ac:dyDescent="0.3">
      <c r="A6" s="2" t="s">
        <v>65</v>
      </c>
      <c r="B6" s="3">
        <v>286870</v>
      </c>
    </row>
    <row r="7" spans="1:2" x14ac:dyDescent="0.3">
      <c r="A7" s="2" t="s">
        <v>390</v>
      </c>
      <c r="B7" s="3">
        <v>1434957.5</v>
      </c>
    </row>
    <row r="11" spans="1:2" x14ac:dyDescent="0.3">
      <c r="A11" s="1" t="s">
        <v>389</v>
      </c>
      <c r="B11" t="s">
        <v>391</v>
      </c>
    </row>
    <row r="12" spans="1:2" x14ac:dyDescent="0.3">
      <c r="A12" s="2" t="s">
        <v>28</v>
      </c>
      <c r="B12" s="3">
        <v>353690</v>
      </c>
    </row>
    <row r="13" spans="1:2" x14ac:dyDescent="0.3">
      <c r="A13" s="2" t="s">
        <v>390</v>
      </c>
      <c r="B13" s="3">
        <v>353690</v>
      </c>
    </row>
    <row r="18" spans="1:2" x14ac:dyDescent="0.3">
      <c r="A18" s="1" t="s">
        <v>389</v>
      </c>
      <c r="B18" t="s">
        <v>391</v>
      </c>
    </row>
    <row r="19" spans="1:2" x14ac:dyDescent="0.3">
      <c r="A19" s="2" t="s">
        <v>190</v>
      </c>
      <c r="B19">
        <v>11875</v>
      </c>
    </row>
    <row r="20" spans="1:2" x14ac:dyDescent="0.3">
      <c r="A20" s="2" t="s">
        <v>311</v>
      </c>
      <c r="B20">
        <v>26000</v>
      </c>
    </row>
    <row r="21" spans="1:2" x14ac:dyDescent="0.3">
      <c r="A21" s="2" t="s">
        <v>138</v>
      </c>
      <c r="B21">
        <v>5850</v>
      </c>
    </row>
    <row r="22" spans="1:2" x14ac:dyDescent="0.3">
      <c r="A22" s="2" t="s">
        <v>84</v>
      </c>
      <c r="B22">
        <v>20050</v>
      </c>
    </row>
    <row r="23" spans="1:2" x14ac:dyDescent="0.3">
      <c r="A23" s="2" t="s">
        <v>116</v>
      </c>
      <c r="B23">
        <v>24700</v>
      </c>
    </row>
    <row r="24" spans="1:2" x14ac:dyDescent="0.3">
      <c r="A24" s="2" t="s">
        <v>132</v>
      </c>
      <c r="B24">
        <v>12160</v>
      </c>
    </row>
    <row r="25" spans="1:2" x14ac:dyDescent="0.3">
      <c r="A25" s="2" t="s">
        <v>20</v>
      </c>
      <c r="B25">
        <v>9727.5</v>
      </c>
    </row>
    <row r="26" spans="1:2" x14ac:dyDescent="0.3">
      <c r="A26" s="2" t="s">
        <v>220</v>
      </c>
      <c r="B26">
        <v>5525</v>
      </c>
    </row>
    <row r="27" spans="1:2" x14ac:dyDescent="0.3">
      <c r="A27" s="2" t="s">
        <v>293</v>
      </c>
      <c r="B27">
        <v>22100</v>
      </c>
    </row>
    <row r="28" spans="1:2" x14ac:dyDescent="0.3">
      <c r="A28" s="2" t="s">
        <v>118</v>
      </c>
      <c r="B28">
        <v>1215</v>
      </c>
    </row>
    <row r="29" spans="1:2" x14ac:dyDescent="0.3">
      <c r="A29" s="2" t="s">
        <v>365</v>
      </c>
      <c r="B29">
        <v>10625</v>
      </c>
    </row>
    <row r="30" spans="1:2" x14ac:dyDescent="0.3">
      <c r="A30" s="2" t="s">
        <v>97</v>
      </c>
      <c r="B30">
        <v>12915</v>
      </c>
    </row>
    <row r="31" spans="1:2" x14ac:dyDescent="0.3">
      <c r="A31" s="2" t="s">
        <v>156</v>
      </c>
      <c r="B31">
        <v>8655</v>
      </c>
    </row>
    <row r="32" spans="1:2" x14ac:dyDescent="0.3">
      <c r="A32" s="2" t="s">
        <v>134</v>
      </c>
      <c r="B32">
        <v>6500</v>
      </c>
    </row>
    <row r="33" spans="1:2" x14ac:dyDescent="0.3">
      <c r="A33" s="2" t="s">
        <v>160</v>
      </c>
      <c r="B33">
        <v>15640</v>
      </c>
    </row>
    <row r="34" spans="1:2" x14ac:dyDescent="0.3">
      <c r="A34" s="2" t="s">
        <v>126</v>
      </c>
      <c r="B34">
        <v>5850</v>
      </c>
    </row>
    <row r="35" spans="1:2" x14ac:dyDescent="0.3">
      <c r="A35" s="2" t="s">
        <v>177</v>
      </c>
      <c r="B35">
        <v>12195</v>
      </c>
    </row>
    <row r="36" spans="1:2" x14ac:dyDescent="0.3">
      <c r="A36" s="2" t="s">
        <v>144</v>
      </c>
      <c r="B36">
        <v>7980</v>
      </c>
    </row>
    <row r="37" spans="1:2" x14ac:dyDescent="0.3">
      <c r="A37" s="2" t="s">
        <v>339</v>
      </c>
      <c r="B37">
        <v>4250</v>
      </c>
    </row>
    <row r="38" spans="1:2" x14ac:dyDescent="0.3">
      <c r="A38" s="2" t="s">
        <v>363</v>
      </c>
      <c r="B38">
        <v>22100</v>
      </c>
    </row>
    <row r="39" spans="1:2" x14ac:dyDescent="0.3">
      <c r="A39" s="2" t="s">
        <v>146</v>
      </c>
      <c r="B39">
        <v>7500</v>
      </c>
    </row>
    <row r="40" spans="1:2" x14ac:dyDescent="0.3">
      <c r="A40" s="2" t="s">
        <v>246</v>
      </c>
      <c r="B40">
        <v>4177.5</v>
      </c>
    </row>
    <row r="41" spans="1:2" x14ac:dyDescent="0.3">
      <c r="A41" s="2" t="s">
        <v>211</v>
      </c>
      <c r="B41">
        <v>2947.5</v>
      </c>
    </row>
    <row r="42" spans="1:2" x14ac:dyDescent="0.3">
      <c r="A42" s="2" t="s">
        <v>77</v>
      </c>
      <c r="B42">
        <v>57440</v>
      </c>
    </row>
    <row r="43" spans="1:2" x14ac:dyDescent="0.3">
      <c r="A43" s="2" t="s">
        <v>188</v>
      </c>
      <c r="B43">
        <v>6650</v>
      </c>
    </row>
    <row r="44" spans="1:2" x14ac:dyDescent="0.3">
      <c r="A44" s="2" t="s">
        <v>202</v>
      </c>
      <c r="B44">
        <v>25575</v>
      </c>
    </row>
    <row r="45" spans="1:2" x14ac:dyDescent="0.3">
      <c r="A45" s="2" t="s">
        <v>238</v>
      </c>
      <c r="B45">
        <v>8400</v>
      </c>
    </row>
    <row r="46" spans="1:2" x14ac:dyDescent="0.3">
      <c r="A46" s="2" t="s">
        <v>196</v>
      </c>
      <c r="B46">
        <v>11430</v>
      </c>
    </row>
    <row r="47" spans="1:2" x14ac:dyDescent="0.3">
      <c r="A47" s="2" t="s">
        <v>179</v>
      </c>
      <c r="B47">
        <v>4560</v>
      </c>
    </row>
    <row r="48" spans="1:2" x14ac:dyDescent="0.3">
      <c r="A48" s="2" t="s">
        <v>265</v>
      </c>
      <c r="B48">
        <v>9000</v>
      </c>
    </row>
    <row r="49" spans="1:2" x14ac:dyDescent="0.3">
      <c r="A49" s="2" t="s">
        <v>112</v>
      </c>
      <c r="B49">
        <v>27135</v>
      </c>
    </row>
    <row r="50" spans="1:2" x14ac:dyDescent="0.3">
      <c r="A50" s="2" t="s">
        <v>346</v>
      </c>
      <c r="B50">
        <v>10500</v>
      </c>
    </row>
    <row r="51" spans="1:2" x14ac:dyDescent="0.3">
      <c r="A51" s="2" t="s">
        <v>283</v>
      </c>
      <c r="B51">
        <v>11650</v>
      </c>
    </row>
    <row r="52" spans="1:2" x14ac:dyDescent="0.3">
      <c r="A52" s="2" t="s">
        <v>261</v>
      </c>
      <c r="B52">
        <v>7507.5</v>
      </c>
    </row>
    <row r="53" spans="1:2" x14ac:dyDescent="0.3">
      <c r="A53" s="2" t="s">
        <v>369</v>
      </c>
      <c r="B53">
        <v>8500</v>
      </c>
    </row>
    <row r="54" spans="1:2" x14ac:dyDescent="0.3">
      <c r="A54" s="2" t="s">
        <v>208</v>
      </c>
      <c r="B54">
        <v>1282.5</v>
      </c>
    </row>
    <row r="55" spans="1:2" x14ac:dyDescent="0.3">
      <c r="A55" s="2" t="s">
        <v>374</v>
      </c>
      <c r="B55">
        <v>1710</v>
      </c>
    </row>
    <row r="56" spans="1:2" x14ac:dyDescent="0.3">
      <c r="A56" s="2" t="s">
        <v>199</v>
      </c>
      <c r="B56">
        <v>13050</v>
      </c>
    </row>
    <row r="57" spans="1:2" x14ac:dyDescent="0.3">
      <c r="A57" s="2" t="s">
        <v>72</v>
      </c>
      <c r="B57">
        <v>20097.5</v>
      </c>
    </row>
    <row r="58" spans="1:2" x14ac:dyDescent="0.3">
      <c r="A58" s="2" t="s">
        <v>204</v>
      </c>
      <c r="B58">
        <v>2250</v>
      </c>
    </row>
    <row r="59" spans="1:2" x14ac:dyDescent="0.3">
      <c r="A59" s="2" t="s">
        <v>158</v>
      </c>
      <c r="B59">
        <v>9450</v>
      </c>
    </row>
    <row r="60" spans="1:2" x14ac:dyDescent="0.3">
      <c r="A60" s="2" t="s">
        <v>377</v>
      </c>
      <c r="B60">
        <v>5400</v>
      </c>
    </row>
    <row r="61" spans="1:2" x14ac:dyDescent="0.3">
      <c r="A61" s="2" t="s">
        <v>128</v>
      </c>
      <c r="B61">
        <v>6725</v>
      </c>
    </row>
    <row r="62" spans="1:2" x14ac:dyDescent="0.3">
      <c r="A62" s="2" t="s">
        <v>225</v>
      </c>
      <c r="B62">
        <v>27720</v>
      </c>
    </row>
    <row r="63" spans="1:2" x14ac:dyDescent="0.3">
      <c r="A63" s="2" t="s">
        <v>228</v>
      </c>
      <c r="B63">
        <v>20350</v>
      </c>
    </row>
    <row r="64" spans="1:2" x14ac:dyDescent="0.3">
      <c r="A64" s="2" t="s">
        <v>166</v>
      </c>
      <c r="B64">
        <v>14750</v>
      </c>
    </row>
    <row r="65" spans="1:2" x14ac:dyDescent="0.3">
      <c r="A65" s="2" t="s">
        <v>95</v>
      </c>
      <c r="B65">
        <v>855</v>
      </c>
    </row>
    <row r="66" spans="1:2" x14ac:dyDescent="0.3">
      <c r="A66" s="2" t="s">
        <v>52</v>
      </c>
      <c r="B66">
        <v>45950</v>
      </c>
    </row>
    <row r="67" spans="1:2" x14ac:dyDescent="0.3">
      <c r="A67" s="2" t="s">
        <v>302</v>
      </c>
      <c r="B67">
        <v>5100</v>
      </c>
    </row>
    <row r="68" spans="1:2" x14ac:dyDescent="0.3">
      <c r="A68" s="2" t="s">
        <v>124</v>
      </c>
      <c r="B68">
        <v>3060</v>
      </c>
    </row>
    <row r="69" spans="1:2" x14ac:dyDescent="0.3">
      <c r="A69" s="2" t="s">
        <v>385</v>
      </c>
      <c r="B69">
        <v>2137.5</v>
      </c>
    </row>
    <row r="70" spans="1:2" x14ac:dyDescent="0.3">
      <c r="A70" s="2" t="s">
        <v>120</v>
      </c>
      <c r="B70">
        <v>14200</v>
      </c>
    </row>
    <row r="71" spans="1:2" x14ac:dyDescent="0.3">
      <c r="A71" s="2" t="s">
        <v>63</v>
      </c>
      <c r="B71">
        <v>7125</v>
      </c>
    </row>
    <row r="72" spans="1:2" x14ac:dyDescent="0.3">
      <c r="A72" s="2" t="s">
        <v>259</v>
      </c>
      <c r="B72">
        <v>8520</v>
      </c>
    </row>
    <row r="73" spans="1:2" x14ac:dyDescent="0.3">
      <c r="A73" s="2" t="s">
        <v>108</v>
      </c>
      <c r="B73">
        <v>2025</v>
      </c>
    </row>
    <row r="74" spans="1:2" x14ac:dyDescent="0.3">
      <c r="A74" s="2" t="s">
        <v>235</v>
      </c>
      <c r="B74">
        <v>5525</v>
      </c>
    </row>
    <row r="75" spans="1:2" x14ac:dyDescent="0.3">
      <c r="A75" s="2" t="s">
        <v>182</v>
      </c>
      <c r="B75">
        <v>17550</v>
      </c>
    </row>
    <row r="76" spans="1:2" x14ac:dyDescent="0.3">
      <c r="A76" s="2" t="s">
        <v>142</v>
      </c>
      <c r="B76">
        <v>4540</v>
      </c>
    </row>
    <row r="77" spans="1:2" x14ac:dyDescent="0.3">
      <c r="A77" s="2" t="s">
        <v>343</v>
      </c>
      <c r="B77">
        <v>7130</v>
      </c>
    </row>
    <row r="78" spans="1:2" x14ac:dyDescent="0.3">
      <c r="A78" s="2" t="s">
        <v>110</v>
      </c>
      <c r="B78">
        <v>20305</v>
      </c>
    </row>
    <row r="79" spans="1:2" x14ac:dyDescent="0.3">
      <c r="A79" s="2" t="s">
        <v>314</v>
      </c>
      <c r="B79">
        <v>10800</v>
      </c>
    </row>
    <row r="80" spans="1:2" x14ac:dyDescent="0.3">
      <c r="A80" s="2" t="s">
        <v>316</v>
      </c>
      <c r="B80">
        <v>10625</v>
      </c>
    </row>
    <row r="81" spans="1:2" x14ac:dyDescent="0.3">
      <c r="A81" s="2" t="s">
        <v>271</v>
      </c>
      <c r="B81">
        <v>1020</v>
      </c>
    </row>
    <row r="82" spans="1:2" x14ac:dyDescent="0.3">
      <c r="A82" s="2" t="s">
        <v>88</v>
      </c>
      <c r="B82">
        <v>13160</v>
      </c>
    </row>
    <row r="83" spans="1:2" x14ac:dyDescent="0.3">
      <c r="A83" s="2" t="s">
        <v>244</v>
      </c>
      <c r="B83">
        <v>5600</v>
      </c>
    </row>
    <row r="84" spans="1:2" x14ac:dyDescent="0.3">
      <c r="A84" s="2" t="s">
        <v>306</v>
      </c>
      <c r="B84">
        <v>3600</v>
      </c>
    </row>
    <row r="85" spans="1:2" x14ac:dyDescent="0.3">
      <c r="A85" s="2" t="s">
        <v>214</v>
      </c>
      <c r="B85">
        <v>16375</v>
      </c>
    </row>
    <row r="86" spans="1:2" x14ac:dyDescent="0.3">
      <c r="A86" s="2" t="s">
        <v>86</v>
      </c>
      <c r="B86">
        <v>15480</v>
      </c>
    </row>
    <row r="87" spans="1:2" x14ac:dyDescent="0.3">
      <c r="A87" s="2" t="s">
        <v>164</v>
      </c>
      <c r="B87">
        <v>15895</v>
      </c>
    </row>
    <row r="88" spans="1:2" x14ac:dyDescent="0.3">
      <c r="A88" s="2" t="s">
        <v>308</v>
      </c>
      <c r="B88">
        <v>24700</v>
      </c>
    </row>
    <row r="89" spans="1:2" x14ac:dyDescent="0.3">
      <c r="A89" s="2" t="s">
        <v>372</v>
      </c>
      <c r="B89">
        <v>2025</v>
      </c>
    </row>
    <row r="90" spans="1:2" x14ac:dyDescent="0.3">
      <c r="A90" s="2" t="s">
        <v>169</v>
      </c>
      <c r="B90">
        <v>1800</v>
      </c>
    </row>
    <row r="91" spans="1:2" x14ac:dyDescent="0.3">
      <c r="A91" s="2" t="s">
        <v>267</v>
      </c>
      <c r="B91">
        <v>18400</v>
      </c>
    </row>
    <row r="92" spans="1:2" x14ac:dyDescent="0.3">
      <c r="A92" s="2" t="s">
        <v>278</v>
      </c>
      <c r="B92">
        <v>30780</v>
      </c>
    </row>
    <row r="93" spans="1:2" x14ac:dyDescent="0.3">
      <c r="A93" s="2" t="s">
        <v>194</v>
      </c>
      <c r="B93">
        <v>31927.5</v>
      </c>
    </row>
    <row r="94" spans="1:2" x14ac:dyDescent="0.3">
      <c r="A94" s="2" t="s">
        <v>281</v>
      </c>
      <c r="B94">
        <v>35675</v>
      </c>
    </row>
    <row r="95" spans="1:2" x14ac:dyDescent="0.3">
      <c r="A95" s="2" t="s">
        <v>173</v>
      </c>
      <c r="B95">
        <v>24700</v>
      </c>
    </row>
    <row r="96" spans="1:2" x14ac:dyDescent="0.3">
      <c r="A96" s="2" t="s">
        <v>241</v>
      </c>
      <c r="B96">
        <v>17370</v>
      </c>
    </row>
    <row r="97" spans="1:2" x14ac:dyDescent="0.3">
      <c r="A97" s="2" t="s">
        <v>360</v>
      </c>
      <c r="B97">
        <v>12500</v>
      </c>
    </row>
    <row r="98" spans="1:2" x14ac:dyDescent="0.3">
      <c r="A98" s="2" t="s">
        <v>171</v>
      </c>
      <c r="B98">
        <v>11250</v>
      </c>
    </row>
    <row r="99" spans="1:2" x14ac:dyDescent="0.3">
      <c r="A99" s="2" t="s">
        <v>114</v>
      </c>
      <c r="B99">
        <v>9500</v>
      </c>
    </row>
    <row r="100" spans="1:2" x14ac:dyDescent="0.3">
      <c r="A100" s="2" t="s">
        <v>257</v>
      </c>
      <c r="B100">
        <v>2730</v>
      </c>
    </row>
    <row r="101" spans="1:2" x14ac:dyDescent="0.3">
      <c r="A101" s="2" t="s">
        <v>330</v>
      </c>
      <c r="B101">
        <v>1912.5</v>
      </c>
    </row>
    <row r="102" spans="1:2" x14ac:dyDescent="0.3">
      <c r="A102" s="2" t="s">
        <v>332</v>
      </c>
      <c r="B102">
        <v>10500</v>
      </c>
    </row>
    <row r="103" spans="1:2" x14ac:dyDescent="0.3">
      <c r="A103" s="2" t="s">
        <v>150</v>
      </c>
      <c r="B103">
        <v>24500</v>
      </c>
    </row>
    <row r="104" spans="1:2" x14ac:dyDescent="0.3">
      <c r="A104" s="2" t="s">
        <v>148</v>
      </c>
      <c r="B104">
        <v>9390</v>
      </c>
    </row>
    <row r="105" spans="1:2" x14ac:dyDescent="0.3">
      <c r="A105" s="2" t="s">
        <v>136</v>
      </c>
      <c r="B105">
        <v>23265</v>
      </c>
    </row>
    <row r="106" spans="1:2" x14ac:dyDescent="0.3">
      <c r="A106" s="2" t="s">
        <v>291</v>
      </c>
      <c r="B106">
        <v>6650</v>
      </c>
    </row>
    <row r="107" spans="1:2" x14ac:dyDescent="0.3">
      <c r="A107" s="2" t="s">
        <v>153</v>
      </c>
      <c r="B107">
        <v>4560</v>
      </c>
    </row>
    <row r="108" spans="1:2" x14ac:dyDescent="0.3">
      <c r="A108" s="2" t="s">
        <v>263</v>
      </c>
      <c r="B108">
        <v>11050</v>
      </c>
    </row>
    <row r="109" spans="1:2" x14ac:dyDescent="0.3">
      <c r="A109" s="2" t="s">
        <v>223</v>
      </c>
      <c r="B109">
        <v>4095</v>
      </c>
    </row>
    <row r="110" spans="1:2" x14ac:dyDescent="0.3">
      <c r="A110" s="2" t="s">
        <v>304</v>
      </c>
      <c r="B110">
        <v>6000</v>
      </c>
    </row>
    <row r="111" spans="1:2" x14ac:dyDescent="0.3">
      <c r="A111" s="2" t="s">
        <v>321</v>
      </c>
      <c r="B111">
        <v>2125</v>
      </c>
    </row>
    <row r="112" spans="1:2" x14ac:dyDescent="0.3">
      <c r="A112" s="2" t="s">
        <v>186</v>
      </c>
      <c r="B112">
        <v>23400</v>
      </c>
    </row>
    <row r="113" spans="1:2" x14ac:dyDescent="0.3">
      <c r="A113" s="2" t="s">
        <v>184</v>
      </c>
      <c r="B113">
        <v>10690</v>
      </c>
    </row>
    <row r="114" spans="1:2" x14ac:dyDescent="0.3">
      <c r="A114" s="2" t="s">
        <v>318</v>
      </c>
      <c r="B114">
        <v>7980</v>
      </c>
    </row>
    <row r="115" spans="1:2" x14ac:dyDescent="0.3">
      <c r="A115" s="2" t="s">
        <v>298</v>
      </c>
      <c r="B115">
        <v>10850</v>
      </c>
    </row>
    <row r="116" spans="1:2" x14ac:dyDescent="0.3">
      <c r="A116" s="2" t="s">
        <v>251</v>
      </c>
      <c r="B116">
        <v>17500</v>
      </c>
    </row>
    <row r="117" spans="1:2" x14ac:dyDescent="0.3">
      <c r="A117" s="2" t="s">
        <v>275</v>
      </c>
      <c r="B117">
        <v>8707.5</v>
      </c>
    </row>
    <row r="118" spans="1:2" x14ac:dyDescent="0.3">
      <c r="A118" s="2" t="s">
        <v>104</v>
      </c>
      <c r="B118">
        <v>11657.5</v>
      </c>
    </row>
    <row r="119" spans="1:2" x14ac:dyDescent="0.3">
      <c r="A119" s="2" t="s">
        <v>130</v>
      </c>
      <c r="B119">
        <v>4800</v>
      </c>
    </row>
    <row r="120" spans="1:2" x14ac:dyDescent="0.3">
      <c r="A120" s="2" t="s">
        <v>140</v>
      </c>
      <c r="B120">
        <v>3850</v>
      </c>
    </row>
    <row r="121" spans="1:2" x14ac:dyDescent="0.3">
      <c r="A121" s="2" t="s">
        <v>101</v>
      </c>
      <c r="B121">
        <v>16625</v>
      </c>
    </row>
    <row r="122" spans="1:2" x14ac:dyDescent="0.3">
      <c r="A122" s="2" t="s">
        <v>56</v>
      </c>
      <c r="B122">
        <v>11300</v>
      </c>
    </row>
    <row r="123" spans="1:2" x14ac:dyDescent="0.3">
      <c r="A123" s="2" t="s">
        <v>34</v>
      </c>
      <c r="B123">
        <v>29250</v>
      </c>
    </row>
    <row r="124" spans="1:2" x14ac:dyDescent="0.3">
      <c r="A124" s="2" t="s">
        <v>42</v>
      </c>
      <c r="B124">
        <v>10500</v>
      </c>
    </row>
    <row r="125" spans="1:2" x14ac:dyDescent="0.3">
      <c r="A125" s="2" t="s">
        <v>218</v>
      </c>
      <c r="B125">
        <v>12600</v>
      </c>
    </row>
    <row r="126" spans="1:2" x14ac:dyDescent="0.3">
      <c r="A126" s="2" t="s">
        <v>356</v>
      </c>
      <c r="B126">
        <v>7000</v>
      </c>
    </row>
    <row r="127" spans="1:2" x14ac:dyDescent="0.3">
      <c r="A127" s="2" t="s">
        <v>233</v>
      </c>
      <c r="B127">
        <v>11200</v>
      </c>
    </row>
    <row r="128" spans="1:2" x14ac:dyDescent="0.3">
      <c r="A128" s="2" t="s">
        <v>353</v>
      </c>
      <c r="B128">
        <v>382.5</v>
      </c>
    </row>
    <row r="129" spans="1:2" x14ac:dyDescent="0.3">
      <c r="A129" s="2" t="s">
        <v>175</v>
      </c>
      <c r="B129">
        <v>10587.5</v>
      </c>
    </row>
    <row r="130" spans="1:2" x14ac:dyDescent="0.3">
      <c r="A130" s="2" t="s">
        <v>390</v>
      </c>
      <c r="B130">
        <v>1344532.5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25"/>
  <sheetViews>
    <sheetView topLeftCell="C1" workbookViewId="0">
      <selection activeCell="O2" sqref="O2"/>
    </sheetView>
  </sheetViews>
  <sheetFormatPr defaultRowHeight="14.4" x14ac:dyDescent="0.3"/>
  <cols>
    <col min="1" max="1" width="19.33203125" customWidth="1"/>
    <col min="2" max="2" width="15.21875" customWidth="1"/>
    <col min="3" max="3" width="15.6640625" customWidth="1"/>
    <col min="4" max="4" width="12.5546875" customWidth="1"/>
    <col min="5" max="5" width="14.21875" bestFit="1" customWidth="1"/>
    <col min="6" max="6" width="12.5546875" bestFit="1" customWidth="1"/>
    <col min="7" max="7" width="12.5546875" customWidth="1"/>
    <col min="8" max="8" width="15.21875" bestFit="1" customWidth="1"/>
  </cols>
  <sheetData>
    <row r="3" spans="1:7" x14ac:dyDescent="0.3">
      <c r="A3" s="1" t="s">
        <v>389</v>
      </c>
      <c r="B3" t="s">
        <v>391</v>
      </c>
      <c r="C3" t="s">
        <v>392</v>
      </c>
      <c r="D3" t="s">
        <v>393</v>
      </c>
    </row>
    <row r="4" spans="1:7" x14ac:dyDescent="0.3">
      <c r="A4" s="2" t="s">
        <v>23</v>
      </c>
      <c r="B4" s="3">
        <v>1434957.5</v>
      </c>
      <c r="C4" s="3">
        <v>537200</v>
      </c>
      <c r="D4" s="3">
        <v>1630</v>
      </c>
      <c r="F4" s="1" t="s">
        <v>389</v>
      </c>
      <c r="G4" t="s">
        <v>391</v>
      </c>
    </row>
    <row r="5" spans="1:7" x14ac:dyDescent="0.3">
      <c r="A5" s="4" t="s">
        <v>46</v>
      </c>
      <c r="B5" s="3">
        <v>253590</v>
      </c>
      <c r="C5" s="3">
        <v>88300</v>
      </c>
      <c r="D5" s="3">
        <v>280</v>
      </c>
      <c r="F5" s="2" t="s">
        <v>48</v>
      </c>
      <c r="G5">
        <v>251825</v>
      </c>
    </row>
    <row r="6" spans="1:7" x14ac:dyDescent="0.3">
      <c r="A6" s="5" t="s">
        <v>47</v>
      </c>
      <c r="B6" s="3">
        <v>253590</v>
      </c>
      <c r="C6" s="3">
        <v>88300</v>
      </c>
      <c r="D6" s="3">
        <v>280</v>
      </c>
      <c r="F6" s="2" t="s">
        <v>29</v>
      </c>
      <c r="G6">
        <v>109440</v>
      </c>
    </row>
    <row r="7" spans="1:7" x14ac:dyDescent="0.3">
      <c r="A7" s="4" t="s">
        <v>59</v>
      </c>
      <c r="B7" s="3">
        <v>261825</v>
      </c>
      <c r="C7" s="3">
        <v>114000</v>
      </c>
      <c r="D7" s="3">
        <v>325</v>
      </c>
      <c r="F7" s="2" t="s">
        <v>81</v>
      </c>
      <c r="G7">
        <v>251860</v>
      </c>
    </row>
    <row r="8" spans="1:7" x14ac:dyDescent="0.3">
      <c r="A8" s="5" t="s">
        <v>60</v>
      </c>
      <c r="B8" s="3">
        <v>261825</v>
      </c>
      <c r="C8" s="3">
        <v>114000</v>
      </c>
      <c r="D8" s="3">
        <v>325</v>
      </c>
      <c r="F8" s="2" t="s">
        <v>92</v>
      </c>
      <c r="G8">
        <v>55957.5</v>
      </c>
    </row>
    <row r="9" spans="1:7" x14ac:dyDescent="0.3">
      <c r="A9" s="4" t="s">
        <v>25</v>
      </c>
      <c r="B9" s="3">
        <v>335735</v>
      </c>
      <c r="C9" s="3">
        <v>123950</v>
      </c>
      <c r="D9" s="3">
        <v>280</v>
      </c>
      <c r="F9" s="2" t="s">
        <v>38</v>
      </c>
      <c r="G9">
        <v>521625</v>
      </c>
    </row>
    <row r="10" spans="1:7" x14ac:dyDescent="0.3">
      <c r="A10" s="5" t="s">
        <v>26</v>
      </c>
      <c r="B10" s="3">
        <v>335735</v>
      </c>
      <c r="C10" s="3">
        <v>123950</v>
      </c>
      <c r="D10" s="3">
        <v>280</v>
      </c>
      <c r="F10" s="2" t="s">
        <v>68</v>
      </c>
      <c r="G10">
        <v>244250</v>
      </c>
    </row>
    <row r="11" spans="1:7" x14ac:dyDescent="0.3">
      <c r="A11" s="4" t="s">
        <v>66</v>
      </c>
      <c r="B11" s="3">
        <v>286870</v>
      </c>
      <c r="C11" s="3">
        <v>109400</v>
      </c>
      <c r="D11" s="3">
        <v>370</v>
      </c>
      <c r="F11" s="2" t="s">
        <v>390</v>
      </c>
      <c r="G11">
        <v>1434957.5</v>
      </c>
    </row>
    <row r="12" spans="1:7" x14ac:dyDescent="0.3">
      <c r="A12" s="5" t="s">
        <v>67</v>
      </c>
      <c r="B12" s="3">
        <v>286870</v>
      </c>
      <c r="C12" s="3">
        <v>109400</v>
      </c>
      <c r="D12" s="3">
        <v>370</v>
      </c>
    </row>
    <row r="13" spans="1:7" x14ac:dyDescent="0.3">
      <c r="A13" s="4" t="s">
        <v>74</v>
      </c>
      <c r="B13" s="3">
        <v>296937.5</v>
      </c>
      <c r="C13" s="3">
        <v>101550</v>
      </c>
      <c r="D13" s="3">
        <v>375</v>
      </c>
    </row>
    <row r="14" spans="1:7" x14ac:dyDescent="0.3">
      <c r="A14" s="5" t="s">
        <v>75</v>
      </c>
      <c r="B14" s="3">
        <v>296937.5</v>
      </c>
      <c r="C14" s="3">
        <v>101550</v>
      </c>
      <c r="D14" s="3">
        <v>375</v>
      </c>
    </row>
    <row r="15" spans="1:7" x14ac:dyDescent="0.3">
      <c r="A15" s="2" t="s">
        <v>390</v>
      </c>
      <c r="B15" s="3">
        <v>1434957.5</v>
      </c>
      <c r="C15" s="3">
        <v>537200</v>
      </c>
      <c r="D15" s="3">
        <v>1630</v>
      </c>
    </row>
    <row r="17" spans="1:8" x14ac:dyDescent="0.3">
      <c r="A17" s="1" t="s">
        <v>389</v>
      </c>
      <c r="B17" t="s">
        <v>391</v>
      </c>
    </row>
    <row r="18" spans="1:8" x14ac:dyDescent="0.3">
      <c r="A18" s="2" t="s">
        <v>69</v>
      </c>
      <c r="B18">
        <v>244250</v>
      </c>
      <c r="G18" s="1" t="s">
        <v>389</v>
      </c>
      <c r="H18" t="s">
        <v>391</v>
      </c>
    </row>
    <row r="19" spans="1:8" x14ac:dyDescent="0.3">
      <c r="A19" s="2" t="s">
        <v>49</v>
      </c>
      <c r="B19">
        <v>251825</v>
      </c>
      <c r="D19" s="1" t="s">
        <v>389</v>
      </c>
      <c r="E19" t="s">
        <v>394</v>
      </c>
      <c r="G19" s="2" t="s">
        <v>69</v>
      </c>
      <c r="H19">
        <v>244250</v>
      </c>
    </row>
    <row r="20" spans="1:8" x14ac:dyDescent="0.3">
      <c r="A20" s="2" t="s">
        <v>93</v>
      </c>
      <c r="B20">
        <v>55957.5</v>
      </c>
      <c r="D20" s="2" t="s">
        <v>40</v>
      </c>
      <c r="E20">
        <v>63</v>
      </c>
      <c r="G20" s="2" t="s">
        <v>49</v>
      </c>
      <c r="H20">
        <v>251825</v>
      </c>
    </row>
    <row r="21" spans="1:8" x14ac:dyDescent="0.3">
      <c r="A21" s="2" t="s">
        <v>30</v>
      </c>
      <c r="B21">
        <v>109440</v>
      </c>
      <c r="D21" s="2" t="s">
        <v>61</v>
      </c>
      <c r="E21">
        <v>35</v>
      </c>
      <c r="G21" s="2" t="s">
        <v>93</v>
      </c>
      <c r="H21">
        <v>55957.5</v>
      </c>
    </row>
    <row r="22" spans="1:8" x14ac:dyDescent="0.3">
      <c r="A22" s="2" t="s">
        <v>82</v>
      </c>
      <c r="B22">
        <v>251860</v>
      </c>
      <c r="D22" s="2" t="s">
        <v>31</v>
      </c>
      <c r="E22">
        <v>51</v>
      </c>
      <c r="G22" s="2" t="s">
        <v>30</v>
      </c>
      <c r="H22">
        <v>109440</v>
      </c>
    </row>
    <row r="23" spans="1:8" x14ac:dyDescent="0.3">
      <c r="A23" s="2" t="s">
        <v>39</v>
      </c>
      <c r="B23">
        <v>521625</v>
      </c>
      <c r="D23" s="2" t="s">
        <v>54</v>
      </c>
      <c r="E23">
        <v>51</v>
      </c>
      <c r="G23" s="2" t="s">
        <v>82</v>
      </c>
      <c r="H23">
        <v>251860</v>
      </c>
    </row>
    <row r="24" spans="1:8" x14ac:dyDescent="0.3">
      <c r="A24" s="2" t="s">
        <v>390</v>
      </c>
      <c r="B24">
        <v>1434957.5</v>
      </c>
      <c r="D24" s="2" t="s">
        <v>390</v>
      </c>
      <c r="E24">
        <v>200</v>
      </c>
      <c r="G24" s="2" t="s">
        <v>39</v>
      </c>
      <c r="H24">
        <v>521625</v>
      </c>
    </row>
    <row r="25" spans="1:8" x14ac:dyDescent="0.3">
      <c r="G25" s="2" t="s">
        <v>390</v>
      </c>
      <c r="H25">
        <v>1434957.5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F1:J1"/>
  <sheetViews>
    <sheetView tabSelected="1" topLeftCell="A12" zoomScale="78" zoomScaleNormal="54" workbookViewId="0">
      <selection activeCell="J1" sqref="J1"/>
    </sheetView>
  </sheetViews>
  <sheetFormatPr defaultRowHeight="14.4" x14ac:dyDescent="0.3"/>
  <cols>
    <col min="1" max="5" width="8.88671875" style="6"/>
    <col min="6" max="6" width="27.6640625" style="6" bestFit="1" customWidth="1"/>
    <col min="7" max="9" width="8.88671875" style="6"/>
    <col min="10" max="10" width="22.77734375" style="6" bestFit="1" customWidth="1"/>
    <col min="11" max="16384" width="8.88671875" style="6"/>
  </cols>
  <sheetData>
    <row r="1" spans="6:10" ht="25.8" x14ac:dyDescent="0.5">
      <c r="F1" s="7"/>
      <c r="J1" s="8" t="s">
        <v>395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sahil madankar</cp:lastModifiedBy>
  <dcterms:created xsi:type="dcterms:W3CDTF">2026-08-07T09:06:23Z</dcterms:created>
  <dcterms:modified xsi:type="dcterms:W3CDTF">2026-09-29T12:12:03Z</dcterms:modified>
</cp:coreProperties>
</file>